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hidePivotFieldList="1"/>
  <mc:AlternateContent xmlns:mc="http://schemas.openxmlformats.org/markup-compatibility/2006">
    <mc:Choice Requires="x15">
      <x15ac:absPath xmlns:x15ac="http://schemas.microsoft.com/office/spreadsheetml/2010/11/ac" url="/Users/adedamopeadeleye/Desktop/Excel projects/"/>
    </mc:Choice>
  </mc:AlternateContent>
  <xr:revisionPtr revIDLastSave="0" documentId="8_{0FE391E7-A44C-684A-9D29-A95187C0D273}" xr6:coauthVersionLast="47" xr6:coauthVersionMax="47" xr10:uidLastSave="{00000000-0000-0000-0000-000000000000}"/>
  <bookViews>
    <workbookView xWindow="0" yWindow="620" windowWidth="25600" windowHeight="14220" activeTab="4" xr2:uid="{00000000-000D-0000-FFFF-FFFF00000000}"/>
  </bookViews>
  <sheets>
    <sheet name="Raw_Data" sheetId="1" r:id="rId1"/>
    <sheet name="Pivot_Engine" sheetId="3" r:id="rId2"/>
    <sheet name="Dashboard_Overview" sheetId="4" r:id="rId3"/>
    <sheet name="Dashboard_Attrition" sheetId="5" r:id="rId4"/>
    <sheet name="Dashboard_Performance" sheetId="6" r:id="rId5"/>
  </sheets>
  <definedNames>
    <definedName name="_xlcn.WorksheetConnection_HR_Dataset_nnew.xlsxTable11" hidden="1">Table1[]</definedName>
    <definedName name="Slicer_Age_group">#N/A</definedName>
    <definedName name="Slicer_Age_group1">#N/A</definedName>
    <definedName name="Slicer_Department">#N/A</definedName>
    <definedName name="Slicer_Department1">#N/A</definedName>
    <definedName name="Slicer_Gender">#N/A</definedName>
    <definedName name="Slicer_Gender1">#N/A</definedName>
    <definedName name="Slicer_Gender2">#N/A</definedName>
    <definedName name="Slicer_Job_Role">#N/A</definedName>
    <definedName name="Slicer_Job_Role1">#N/A</definedName>
  </definedNames>
  <calcPr calcId="191029"/>
  <pivotCaches>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 cacheId="14" r:id="rId19"/>
    <pivotCache cacheId="15" r:id="rId20"/>
    <pivotCache cacheId="16" r:id="rId21"/>
    <pivotCache cacheId="17" r:id="rId22"/>
    <pivotCache cacheId="18" r:id="rId23"/>
    <pivotCache cacheId="19" r:id="rId24"/>
  </pivotCaches>
  <extLst>
    <ext xmlns:x14="http://schemas.microsoft.com/office/spreadsheetml/2009/9/main" uri="{876F7934-8845-4945-9796-88D515C7AA90}">
      <x14:pivotCaches>
        <pivotCache cacheId="20" r:id="rId25"/>
        <pivotCache cacheId="21" r:id="rId26"/>
        <pivotCache cacheId="22" r:id="rId27"/>
        <pivotCache cacheId="23" r:id="rId28"/>
      </x14:pivotCaches>
    </ext>
    <ext xmlns:x14="http://schemas.microsoft.com/office/spreadsheetml/2009/9/main" uri="{BBE1A952-AA13-448e-AADC-164F8A28A991}">
      <x14:slicerCaches>
        <x14:slicerCache r:id="rId29"/>
        <x14:slicerCache r:id="rId30"/>
        <x14:slicerCache r:id="rId31"/>
        <x14:slicerCache r:id="rId32"/>
        <x14:slicerCache r:id="rId33"/>
        <x14:slicerCache r:id="rId34"/>
        <x14:slicerCache r:id="rId35"/>
        <x14:slicerCache r:id="rId36"/>
        <x14:slicerCache r:id="rId3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HR_Dataset_nnew.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 i="1" l="1" a="1"/>
  <c r="T2" i="1" s="1"/>
  <c r="T3" i="1" a="1"/>
  <c r="T3" i="1" s="1"/>
  <c r="T4" i="1" a="1"/>
  <c r="T4" i="1" s="1"/>
  <c r="T5" i="1" a="1"/>
  <c r="T5" i="1"/>
  <c r="T6" i="1" a="1"/>
  <c r="T6" i="1" s="1"/>
  <c r="T7" i="1" a="1"/>
  <c r="T7" i="1" s="1"/>
  <c r="T8" i="1" a="1"/>
  <c r="T8" i="1" s="1"/>
  <c r="T9" i="1" a="1"/>
  <c r="T9" i="1"/>
  <c r="T10" i="1" a="1"/>
  <c r="T10" i="1" s="1"/>
  <c r="T11" i="1" a="1"/>
  <c r="T11" i="1" s="1"/>
  <c r="T12" i="1" a="1"/>
  <c r="T12" i="1" s="1"/>
  <c r="T13" i="1" a="1"/>
  <c r="T13" i="1"/>
  <c r="T14" i="1" a="1"/>
  <c r="T14" i="1" s="1"/>
  <c r="T15" i="1" a="1"/>
  <c r="T15" i="1" s="1"/>
  <c r="T16" i="1" a="1"/>
  <c r="T16" i="1" s="1"/>
  <c r="T17" i="1" a="1"/>
  <c r="T17" i="1" s="1"/>
  <c r="T18" i="1" a="1"/>
  <c r="T18" i="1" s="1"/>
  <c r="T19" i="1" a="1"/>
  <c r="T19" i="1" s="1"/>
  <c r="T20" i="1" a="1"/>
  <c r="T20" i="1" s="1"/>
  <c r="T21" i="1" a="1"/>
  <c r="T21" i="1" s="1"/>
  <c r="T22" i="1" a="1"/>
  <c r="T22" i="1" s="1"/>
  <c r="T23" i="1" a="1"/>
  <c r="T23" i="1" s="1"/>
  <c r="T24" i="1" a="1"/>
  <c r="T24" i="1" s="1"/>
  <c r="T25" i="1" a="1"/>
  <c r="T25" i="1" s="1"/>
  <c r="T26" i="1" a="1"/>
  <c r="T26" i="1" s="1"/>
  <c r="T27" i="1" a="1"/>
  <c r="T27" i="1" s="1"/>
  <c r="T28" i="1" a="1"/>
  <c r="T28" i="1" s="1"/>
  <c r="T29" i="1" a="1"/>
  <c r="T29" i="1"/>
  <c r="T30" i="1" a="1"/>
  <c r="T30" i="1" s="1"/>
  <c r="T31" i="1" a="1"/>
  <c r="T31" i="1" s="1"/>
  <c r="T32" i="1" a="1"/>
  <c r="T32" i="1" s="1"/>
  <c r="T33" i="1" a="1"/>
  <c r="T33" i="1" s="1"/>
  <c r="T34" i="1" a="1"/>
  <c r="T34" i="1" s="1"/>
  <c r="T35" i="1" a="1"/>
  <c r="T35" i="1" s="1"/>
  <c r="T36" i="1" a="1"/>
  <c r="T36" i="1" s="1"/>
  <c r="T37" i="1" a="1"/>
  <c r="T37" i="1"/>
  <c r="T38" i="1" a="1"/>
  <c r="T38" i="1" s="1"/>
  <c r="T39" i="1" a="1"/>
  <c r="T39" i="1" s="1"/>
  <c r="T40" i="1" a="1"/>
  <c r="T40" i="1" s="1"/>
  <c r="T41" i="1" a="1"/>
  <c r="T41" i="1" s="1"/>
  <c r="T42" i="1" a="1"/>
  <c r="T42" i="1" s="1"/>
  <c r="T43" i="1" a="1"/>
  <c r="T43" i="1" s="1"/>
  <c r="T44" i="1" a="1"/>
  <c r="T44" i="1" s="1"/>
  <c r="T45" i="1" a="1"/>
  <c r="T45" i="1"/>
  <c r="T46" i="1" a="1"/>
  <c r="T46" i="1" s="1"/>
  <c r="T47" i="1" a="1"/>
  <c r="T47" i="1" s="1"/>
  <c r="T48" i="1" a="1"/>
  <c r="T48" i="1" s="1"/>
  <c r="T49" i="1" a="1"/>
  <c r="T49" i="1" s="1"/>
  <c r="T50" i="1" a="1"/>
  <c r="T50" i="1" s="1"/>
  <c r="T51" i="1" a="1"/>
  <c r="T51" i="1" s="1"/>
  <c r="T52" i="1" a="1"/>
  <c r="T52" i="1" s="1"/>
  <c r="T53" i="1" a="1"/>
  <c r="T53" i="1" s="1"/>
  <c r="T54" i="1" a="1"/>
  <c r="T54" i="1" s="1"/>
  <c r="T55" i="1" a="1"/>
  <c r="T55" i="1" s="1"/>
  <c r="T56" i="1" a="1"/>
  <c r="T56" i="1" s="1"/>
  <c r="T57" i="1" a="1"/>
  <c r="T57" i="1" s="1"/>
  <c r="T58" i="1" a="1"/>
  <c r="T58" i="1" s="1"/>
  <c r="T59" i="1" a="1"/>
  <c r="T59" i="1" s="1"/>
  <c r="T60" i="1" a="1"/>
  <c r="T60" i="1" s="1"/>
  <c r="T61" i="1" a="1"/>
  <c r="T61" i="1"/>
  <c r="T62" i="1" a="1"/>
  <c r="T62" i="1" s="1"/>
  <c r="T63" i="1" a="1"/>
  <c r="T63" i="1" s="1"/>
  <c r="T64" i="1" a="1"/>
  <c r="T64" i="1" s="1"/>
  <c r="T65" i="1" a="1"/>
  <c r="T65" i="1" s="1"/>
  <c r="T66" i="1" a="1"/>
  <c r="T66" i="1" s="1"/>
  <c r="T67" i="1" a="1"/>
  <c r="T67" i="1" s="1"/>
  <c r="T68" i="1" a="1"/>
  <c r="T68" i="1" s="1"/>
  <c r="T69" i="1" a="1"/>
  <c r="T69" i="1"/>
  <c r="T70" i="1" a="1"/>
  <c r="T70" i="1" s="1"/>
  <c r="T71" i="1" a="1"/>
  <c r="T71" i="1" s="1"/>
  <c r="T72" i="1" a="1"/>
  <c r="T72" i="1" s="1"/>
  <c r="T73" i="1" a="1"/>
  <c r="T73" i="1"/>
  <c r="T74" i="1" a="1"/>
  <c r="T74" i="1" s="1"/>
  <c r="T75" i="1" a="1"/>
  <c r="T75" i="1" s="1"/>
  <c r="T76" i="1" a="1"/>
  <c r="T76" i="1" s="1"/>
  <c r="T77" i="1" a="1"/>
  <c r="T77" i="1"/>
  <c r="T78" i="1" a="1"/>
  <c r="T78" i="1" s="1"/>
  <c r="T79" i="1" a="1"/>
  <c r="T79" i="1" s="1"/>
  <c r="T80" i="1" a="1"/>
  <c r="T80" i="1" s="1"/>
  <c r="T81" i="1" a="1"/>
  <c r="T81" i="1" s="1"/>
  <c r="T82" i="1" a="1"/>
  <c r="T82" i="1" s="1"/>
  <c r="T83" i="1" a="1"/>
  <c r="T83" i="1" s="1"/>
  <c r="T84" i="1" a="1"/>
  <c r="T84" i="1" s="1"/>
  <c r="T85" i="1" a="1"/>
  <c r="T85" i="1" s="1"/>
  <c r="T86" i="1" a="1"/>
  <c r="T86" i="1" s="1"/>
  <c r="T87" i="1" a="1"/>
  <c r="T87" i="1" s="1"/>
  <c r="T88" i="1" a="1"/>
  <c r="T88" i="1" s="1"/>
  <c r="T89" i="1" a="1"/>
  <c r="T89" i="1" s="1"/>
  <c r="T90" i="1" a="1"/>
  <c r="T90" i="1" s="1"/>
  <c r="T91" i="1" a="1"/>
  <c r="T91" i="1" s="1"/>
  <c r="T92" i="1" a="1"/>
  <c r="T92" i="1" s="1"/>
  <c r="T93" i="1" a="1"/>
  <c r="T93" i="1"/>
  <c r="T94" i="1" a="1"/>
  <c r="T94" i="1" s="1"/>
  <c r="T95" i="1" a="1"/>
  <c r="T95" i="1" s="1"/>
  <c r="T96" i="1" a="1"/>
  <c r="T96" i="1" s="1"/>
  <c r="T97" i="1" a="1"/>
  <c r="T97" i="1" s="1"/>
  <c r="T98" i="1" a="1"/>
  <c r="T98" i="1" s="1"/>
  <c r="T99" i="1" a="1"/>
  <c r="T99" i="1" s="1"/>
  <c r="T100" i="1" a="1"/>
  <c r="T100" i="1" s="1"/>
  <c r="T101" i="1" a="1"/>
  <c r="T101" i="1"/>
  <c r="T102" i="1" a="1"/>
  <c r="T102" i="1" s="1"/>
  <c r="T103" i="1" a="1"/>
  <c r="T103" i="1" s="1"/>
  <c r="T104" i="1" a="1"/>
  <c r="T104" i="1" s="1"/>
  <c r="T105" i="1" a="1"/>
  <c r="T105" i="1"/>
  <c r="T106" i="1" a="1"/>
  <c r="T106" i="1" s="1"/>
  <c r="T107" i="1" a="1"/>
  <c r="T107" i="1" s="1"/>
  <c r="T108" i="1" a="1"/>
  <c r="T108" i="1" s="1"/>
  <c r="T109" i="1" a="1"/>
  <c r="T109" i="1"/>
  <c r="T110" i="1" a="1"/>
  <c r="T110" i="1" s="1"/>
  <c r="T111" i="1" a="1"/>
  <c r="T111" i="1" s="1"/>
  <c r="T112" i="1" a="1"/>
  <c r="T112" i="1" s="1"/>
  <c r="T113" i="1" a="1"/>
  <c r="T113" i="1" s="1"/>
  <c r="T114" i="1" a="1"/>
  <c r="T114" i="1" s="1"/>
  <c r="T115" i="1" a="1"/>
  <c r="T115" i="1" s="1"/>
  <c r="T116" i="1" a="1"/>
  <c r="T116" i="1" s="1"/>
  <c r="T117" i="1" a="1"/>
  <c r="T117" i="1" s="1"/>
  <c r="T118" i="1" a="1"/>
  <c r="T118" i="1" s="1"/>
  <c r="T119" i="1" a="1"/>
  <c r="T119" i="1" s="1"/>
  <c r="T120" i="1" a="1"/>
  <c r="T120" i="1" s="1"/>
  <c r="T121" i="1" a="1"/>
  <c r="T121" i="1" s="1"/>
  <c r="T122" i="1" a="1"/>
  <c r="T122" i="1" s="1"/>
  <c r="T123" i="1" a="1"/>
  <c r="T123" i="1" s="1"/>
  <c r="T124" i="1" a="1"/>
  <c r="T124" i="1" s="1"/>
  <c r="T125" i="1" a="1"/>
  <c r="T125" i="1"/>
  <c r="T126" i="1" a="1"/>
  <c r="T126" i="1" s="1"/>
  <c r="T127" i="1" a="1"/>
  <c r="T127" i="1" s="1"/>
  <c r="T128" i="1" a="1"/>
  <c r="T128" i="1" s="1"/>
  <c r="T129" i="1" a="1"/>
  <c r="T129" i="1" s="1"/>
  <c r="T130" i="1" a="1"/>
  <c r="T130" i="1" s="1"/>
  <c r="T131" i="1" a="1"/>
  <c r="T131" i="1" s="1"/>
  <c r="T132" i="1" a="1"/>
  <c r="T132" i="1" s="1"/>
  <c r="T133" i="1" a="1"/>
  <c r="T133" i="1"/>
  <c r="T134" i="1" a="1"/>
  <c r="T134" i="1" s="1"/>
  <c r="T135" i="1" a="1"/>
  <c r="T135" i="1" s="1"/>
  <c r="T136" i="1" a="1"/>
  <c r="T136" i="1" s="1"/>
  <c r="T137" i="1" a="1"/>
  <c r="T137" i="1"/>
  <c r="T138" i="1" a="1"/>
  <c r="T138" i="1" s="1"/>
  <c r="T139" i="1" a="1"/>
  <c r="T139" i="1" s="1"/>
  <c r="T140" i="1" a="1"/>
  <c r="T140" i="1" s="1"/>
  <c r="T141" i="1" a="1"/>
  <c r="T141" i="1"/>
  <c r="T142" i="1" a="1"/>
  <c r="T142" i="1" s="1"/>
  <c r="T143" i="1" a="1"/>
  <c r="T143" i="1" s="1"/>
  <c r="T144" i="1" a="1"/>
  <c r="T144" i="1" s="1"/>
  <c r="T145" i="1" a="1"/>
  <c r="T145" i="1" s="1"/>
  <c r="T146" i="1" a="1"/>
  <c r="T146" i="1" s="1"/>
  <c r="T147" i="1" a="1"/>
  <c r="T147" i="1" s="1"/>
  <c r="T148" i="1" a="1"/>
  <c r="T148" i="1" s="1"/>
  <c r="T149" i="1" a="1"/>
  <c r="T149" i="1" s="1"/>
  <c r="T150" i="1" a="1"/>
  <c r="T150" i="1" s="1"/>
  <c r="T151" i="1" a="1"/>
  <c r="T151" i="1" s="1"/>
  <c r="T152" i="1" a="1"/>
  <c r="T152" i="1" s="1"/>
  <c r="T153" i="1" a="1"/>
  <c r="T153" i="1" s="1"/>
  <c r="T154" i="1" a="1"/>
  <c r="T154" i="1" s="1"/>
  <c r="T155" i="1" a="1"/>
  <c r="T155" i="1" s="1"/>
  <c r="T156" i="1" a="1"/>
  <c r="T156" i="1" s="1"/>
  <c r="T157" i="1" a="1"/>
  <c r="T157" i="1"/>
  <c r="T158" i="1" a="1"/>
  <c r="T158" i="1" s="1"/>
  <c r="T159" i="1" a="1"/>
  <c r="T159" i="1" s="1"/>
  <c r="T160" i="1" a="1"/>
  <c r="T160" i="1" s="1"/>
  <c r="T161" i="1" a="1"/>
  <c r="T161" i="1" s="1"/>
  <c r="T162" i="1" a="1"/>
  <c r="T162" i="1" s="1"/>
  <c r="T163" i="1" a="1"/>
  <c r="T163" i="1" s="1"/>
  <c r="T164" i="1" a="1"/>
  <c r="T164" i="1" s="1"/>
  <c r="T165" i="1" a="1"/>
  <c r="T165" i="1"/>
  <c r="T166" i="1" a="1"/>
  <c r="T166" i="1" s="1"/>
  <c r="T167" i="1" a="1"/>
  <c r="T167" i="1" s="1"/>
  <c r="T168" i="1" a="1"/>
  <c r="T168" i="1" s="1"/>
  <c r="T169" i="1" a="1"/>
  <c r="T169" i="1"/>
  <c r="T170" i="1" a="1"/>
  <c r="T170" i="1" s="1"/>
  <c r="T171" i="1" a="1"/>
  <c r="T171" i="1" s="1"/>
  <c r="T172" i="1" a="1"/>
  <c r="T172" i="1" s="1"/>
  <c r="T173" i="1" a="1"/>
  <c r="T173" i="1"/>
  <c r="T174" i="1" a="1"/>
  <c r="T174" i="1" s="1"/>
  <c r="T175" i="1" a="1"/>
  <c r="T175" i="1" s="1"/>
  <c r="T176" i="1" a="1"/>
  <c r="T176" i="1" s="1"/>
  <c r="T177" i="1" a="1"/>
  <c r="T177" i="1" s="1"/>
  <c r="T178" i="1" a="1"/>
  <c r="T178" i="1" s="1"/>
  <c r="T179" i="1" a="1"/>
  <c r="T179" i="1" s="1"/>
  <c r="T180" i="1" a="1"/>
  <c r="T180" i="1" s="1"/>
  <c r="T181" i="1" a="1"/>
  <c r="T181" i="1" s="1"/>
  <c r="T182" i="1" a="1"/>
  <c r="T182" i="1" s="1"/>
  <c r="T183" i="1" a="1"/>
  <c r="T183" i="1" s="1"/>
  <c r="T184" i="1" a="1"/>
  <c r="T184" i="1" s="1"/>
  <c r="T185" i="1" a="1"/>
  <c r="T185" i="1" s="1"/>
  <c r="T186" i="1" a="1"/>
  <c r="T186" i="1" s="1"/>
  <c r="T187" i="1" a="1"/>
  <c r="T187" i="1" s="1"/>
  <c r="T188" i="1" a="1"/>
  <c r="T188" i="1" s="1"/>
  <c r="T189" i="1" a="1"/>
  <c r="T189" i="1"/>
  <c r="T190" i="1" a="1"/>
  <c r="T190" i="1" s="1"/>
  <c r="T191" i="1" a="1"/>
  <c r="T191" i="1" s="1"/>
  <c r="T192" i="1" a="1"/>
  <c r="T192" i="1" s="1"/>
  <c r="T193" i="1" a="1"/>
  <c r="T193" i="1" s="1"/>
  <c r="T194" i="1" a="1"/>
  <c r="T194" i="1" s="1"/>
  <c r="T195" i="1" a="1"/>
  <c r="T195" i="1" s="1"/>
  <c r="T196" i="1" a="1"/>
  <c r="T196" i="1" s="1"/>
  <c r="T197" i="1" a="1"/>
  <c r="T197" i="1"/>
  <c r="T198" i="1" a="1"/>
  <c r="T198" i="1" s="1"/>
  <c r="T199" i="1" a="1"/>
  <c r="T199" i="1" s="1"/>
  <c r="T200" i="1" a="1"/>
  <c r="T200" i="1" s="1"/>
  <c r="T201" i="1" a="1"/>
  <c r="T201" i="1"/>
  <c r="T202" i="1" a="1"/>
  <c r="T202" i="1" s="1"/>
  <c r="T203" i="1" a="1"/>
  <c r="T203" i="1" s="1"/>
  <c r="T204" i="1" a="1"/>
  <c r="T204" i="1" s="1"/>
  <c r="T205" i="1" a="1"/>
  <c r="T205" i="1"/>
  <c r="T206" i="1" a="1"/>
  <c r="T206" i="1" s="1"/>
  <c r="T207" i="1" a="1"/>
  <c r="T207" i="1" s="1"/>
  <c r="T208" i="1" a="1"/>
  <c r="T208" i="1" s="1"/>
  <c r="T209" i="1" a="1"/>
  <c r="T209" i="1"/>
  <c r="T210" i="1" a="1"/>
  <c r="T210" i="1" s="1"/>
  <c r="T211" i="1" a="1"/>
  <c r="T211" i="1" s="1"/>
  <c r="T212" i="1" a="1"/>
  <c r="T212" i="1" s="1"/>
  <c r="T213" i="1" a="1"/>
  <c r="T213" i="1" s="1"/>
  <c r="T214" i="1" a="1"/>
  <c r="T214" i="1" s="1"/>
  <c r="T215" i="1" a="1"/>
  <c r="T215" i="1" s="1"/>
  <c r="T216" i="1" a="1"/>
  <c r="T216" i="1" s="1"/>
  <c r="T217" i="1" a="1"/>
  <c r="T217" i="1" s="1"/>
  <c r="T218" i="1" a="1"/>
  <c r="T218" i="1" s="1"/>
  <c r="T219" i="1" a="1"/>
  <c r="T219" i="1" s="1"/>
  <c r="T220" i="1" a="1"/>
  <c r="T220" i="1" s="1"/>
  <c r="T221" i="1" a="1"/>
  <c r="T221" i="1"/>
  <c r="T222" i="1" a="1"/>
  <c r="T222" i="1" s="1"/>
  <c r="T223" i="1" a="1"/>
  <c r="T223" i="1" s="1"/>
  <c r="T224" i="1" a="1"/>
  <c r="T224" i="1" s="1"/>
  <c r="T225" i="1" a="1"/>
  <c r="T225" i="1" s="1"/>
  <c r="T226" i="1" a="1"/>
  <c r="T226" i="1" s="1"/>
  <c r="T227" i="1" a="1"/>
  <c r="T227" i="1" s="1"/>
  <c r="T228" i="1" a="1"/>
  <c r="T228" i="1" s="1"/>
  <c r="T229" i="1" a="1"/>
  <c r="T229" i="1"/>
  <c r="T230" i="1" a="1"/>
  <c r="T230" i="1" s="1"/>
  <c r="T231" i="1" a="1"/>
  <c r="T231" i="1" s="1"/>
  <c r="T232" i="1" a="1"/>
  <c r="T232" i="1" s="1"/>
  <c r="T233" i="1" a="1"/>
  <c r="T233" i="1"/>
  <c r="T234" i="1" a="1"/>
  <c r="T234" i="1" s="1"/>
  <c r="T235" i="1" a="1"/>
  <c r="T235" i="1" s="1"/>
  <c r="T236" i="1" a="1"/>
  <c r="T236" i="1" s="1"/>
  <c r="T237" i="1" a="1"/>
  <c r="T237" i="1"/>
  <c r="T238" i="1" a="1"/>
  <c r="T238" i="1" s="1"/>
  <c r="T239" i="1" a="1"/>
  <c r="T239" i="1" s="1"/>
  <c r="T240" i="1" a="1"/>
  <c r="T240" i="1" s="1"/>
  <c r="T241" i="1" a="1"/>
  <c r="T241" i="1"/>
  <c r="T242" i="1" a="1"/>
  <c r="T242" i="1" s="1"/>
  <c r="T243" i="1" a="1"/>
  <c r="T243" i="1" s="1"/>
  <c r="T244" i="1" a="1"/>
  <c r="T244" i="1" s="1"/>
  <c r="T245" i="1" a="1"/>
  <c r="T245" i="1" s="1"/>
  <c r="T246" i="1" a="1"/>
  <c r="T246" i="1" s="1"/>
  <c r="T247" i="1" a="1"/>
  <c r="T247" i="1" s="1"/>
  <c r="T248" i="1" a="1"/>
  <c r="T248" i="1" s="1"/>
  <c r="T249" i="1" a="1"/>
  <c r="T249" i="1" s="1"/>
  <c r="T250" i="1" a="1"/>
  <c r="T250" i="1" s="1"/>
  <c r="T251" i="1" a="1"/>
  <c r="T251" i="1" s="1"/>
  <c r="T252" i="1" a="1"/>
  <c r="T252" i="1" s="1"/>
  <c r="T253" i="1" a="1"/>
  <c r="T253" i="1"/>
  <c r="T254" i="1" a="1"/>
  <c r="T254" i="1" s="1"/>
  <c r="T255" i="1" a="1"/>
  <c r="T255" i="1" s="1"/>
  <c r="T256" i="1" a="1"/>
  <c r="T256" i="1" s="1"/>
  <c r="T257" i="1" a="1"/>
  <c r="T257" i="1" s="1"/>
  <c r="T258" i="1" a="1"/>
  <c r="T258" i="1" s="1"/>
  <c r="T259" i="1" a="1"/>
  <c r="T259" i="1" s="1"/>
  <c r="T260" i="1" a="1"/>
  <c r="T260" i="1" s="1"/>
  <c r="T261" i="1" a="1"/>
  <c r="T261" i="1"/>
  <c r="T262" i="1" a="1"/>
  <c r="T262" i="1" s="1"/>
  <c r="T263" i="1" a="1"/>
  <c r="T263" i="1" s="1"/>
  <c r="T264" i="1" a="1"/>
  <c r="T264" i="1" s="1"/>
  <c r="T265" i="1" a="1"/>
  <c r="T265" i="1"/>
  <c r="T266" i="1" a="1"/>
  <c r="T266" i="1" s="1"/>
  <c r="T267" i="1" a="1"/>
  <c r="T267" i="1" s="1"/>
  <c r="T268" i="1" a="1"/>
  <c r="T268" i="1" s="1"/>
  <c r="T269" i="1" a="1"/>
  <c r="T269" i="1"/>
  <c r="T270" i="1" a="1"/>
  <c r="T270" i="1" s="1"/>
  <c r="T271" i="1" a="1"/>
  <c r="T271" i="1" s="1"/>
  <c r="T272" i="1" a="1"/>
  <c r="T272" i="1" s="1"/>
  <c r="T273" i="1" a="1"/>
  <c r="T273" i="1"/>
  <c r="T274" i="1" a="1"/>
  <c r="T274" i="1" s="1"/>
  <c r="T275" i="1" a="1"/>
  <c r="T275" i="1" s="1"/>
  <c r="T276" i="1" a="1"/>
  <c r="T276" i="1" s="1"/>
  <c r="T277" i="1" a="1"/>
  <c r="T277" i="1" s="1"/>
  <c r="T278" i="1" a="1"/>
  <c r="T278" i="1" s="1"/>
  <c r="T279" i="1" a="1"/>
  <c r="T279" i="1" s="1"/>
  <c r="T280" i="1" a="1"/>
  <c r="T280" i="1" s="1"/>
  <c r="T281" i="1" a="1"/>
  <c r="T281" i="1" s="1"/>
  <c r="T282" i="1" a="1"/>
  <c r="T282" i="1" s="1"/>
  <c r="T283" i="1" a="1"/>
  <c r="T283" i="1" s="1"/>
  <c r="T284" i="1" a="1"/>
  <c r="T284" i="1" s="1"/>
  <c r="T285" i="1" a="1"/>
  <c r="T285" i="1"/>
  <c r="T286" i="1" a="1"/>
  <c r="T286" i="1" s="1"/>
  <c r="T287" i="1" a="1"/>
  <c r="T287" i="1" s="1"/>
  <c r="T288" i="1" a="1"/>
  <c r="T288" i="1" s="1"/>
  <c r="T289" i="1" a="1"/>
  <c r="T289" i="1" s="1"/>
  <c r="T290" i="1" a="1"/>
  <c r="T290" i="1" s="1"/>
  <c r="T291" i="1" a="1"/>
  <c r="T291" i="1" s="1"/>
  <c r="T292" i="1" a="1"/>
  <c r="T292" i="1" s="1"/>
  <c r="T293" i="1" a="1"/>
  <c r="T293" i="1"/>
  <c r="T294" i="1" a="1"/>
  <c r="T294" i="1" s="1"/>
  <c r="T295" i="1" a="1"/>
  <c r="T295" i="1" s="1"/>
  <c r="T296" i="1" a="1"/>
  <c r="T296" i="1" s="1"/>
  <c r="T297" i="1" a="1"/>
  <c r="T297" i="1"/>
  <c r="T298" i="1" a="1"/>
  <c r="T298" i="1" s="1"/>
  <c r="T299" i="1" a="1"/>
  <c r="T299" i="1" s="1"/>
  <c r="T300" i="1" a="1"/>
  <c r="T300" i="1" s="1"/>
  <c r="T301" i="1" a="1"/>
  <c r="T301" i="1"/>
  <c r="T302" i="1" a="1"/>
  <c r="T302" i="1" s="1"/>
  <c r="T303" i="1" a="1"/>
  <c r="T303" i="1" s="1"/>
  <c r="T304" i="1" a="1"/>
  <c r="T304" i="1" s="1"/>
  <c r="T305" i="1" a="1"/>
  <c r="T305" i="1"/>
  <c r="T306" i="1" a="1"/>
  <c r="T306" i="1" s="1"/>
  <c r="T307" i="1" a="1"/>
  <c r="T307" i="1" s="1"/>
  <c r="T308" i="1" a="1"/>
  <c r="T308" i="1" s="1"/>
  <c r="T309" i="1" a="1"/>
  <c r="T309" i="1" s="1"/>
  <c r="T310" i="1" a="1"/>
  <c r="T310" i="1" s="1"/>
  <c r="T311" i="1" a="1"/>
  <c r="T311" i="1" s="1"/>
  <c r="T312" i="1" a="1"/>
  <c r="T312" i="1" s="1"/>
  <c r="T313" i="1" a="1"/>
  <c r="T313" i="1" s="1"/>
  <c r="T314" i="1" a="1"/>
  <c r="T314" i="1" s="1"/>
  <c r="T315" i="1" a="1"/>
  <c r="T315" i="1" s="1"/>
  <c r="T316" i="1" a="1"/>
  <c r="T316" i="1" s="1"/>
  <c r="T317" i="1" a="1"/>
  <c r="T317" i="1"/>
  <c r="T318" i="1" a="1"/>
  <c r="T318" i="1" s="1"/>
  <c r="T319" i="1" a="1"/>
  <c r="T319" i="1" s="1"/>
  <c r="T320" i="1" a="1"/>
  <c r="T320" i="1" s="1"/>
  <c r="T321" i="1" a="1"/>
  <c r="T321" i="1" s="1"/>
  <c r="T322" i="1" a="1"/>
  <c r="T322" i="1" s="1"/>
  <c r="T323" i="1" a="1"/>
  <c r="T323" i="1" s="1"/>
  <c r="T324" i="1" a="1"/>
  <c r="T324" i="1" s="1"/>
  <c r="T325" i="1" a="1"/>
  <c r="T325" i="1"/>
  <c r="T326" i="1" a="1"/>
  <c r="T326" i="1" s="1"/>
  <c r="T327" i="1" a="1"/>
  <c r="T327" i="1" s="1"/>
  <c r="T328" i="1" a="1"/>
  <c r="T328" i="1" s="1"/>
  <c r="T329" i="1" a="1"/>
  <c r="T329" i="1"/>
  <c r="T330" i="1" a="1"/>
  <c r="T330" i="1" s="1"/>
  <c r="T331" i="1" a="1"/>
  <c r="T331" i="1" s="1"/>
  <c r="T332" i="1" a="1"/>
  <c r="T332" i="1" s="1"/>
  <c r="T333" i="1" a="1"/>
  <c r="T333" i="1"/>
  <c r="T334" i="1" a="1"/>
  <c r="T334" i="1" s="1"/>
  <c r="T335" i="1" a="1"/>
  <c r="T335" i="1" s="1"/>
  <c r="T336" i="1" a="1"/>
  <c r="T336" i="1" s="1"/>
  <c r="T337" i="1" a="1"/>
  <c r="T337" i="1"/>
  <c r="T338" i="1" a="1"/>
  <c r="T338" i="1" s="1"/>
  <c r="T339" i="1" a="1"/>
  <c r="T339" i="1" s="1"/>
  <c r="T340" i="1" a="1"/>
  <c r="T340" i="1" s="1"/>
  <c r="T341" i="1" a="1"/>
  <c r="T341" i="1" s="1"/>
  <c r="T342" i="1" a="1"/>
  <c r="T342" i="1"/>
  <c r="T343" i="1" a="1"/>
  <c r="T343" i="1"/>
  <c r="T344" i="1" a="1"/>
  <c r="T344" i="1"/>
  <c r="T345" i="1" a="1"/>
  <c r="T345" i="1" s="1"/>
  <c r="T346" i="1" a="1"/>
  <c r="T346" i="1"/>
  <c r="T347" i="1" a="1"/>
  <c r="T347" i="1"/>
  <c r="T348" i="1" a="1"/>
  <c r="T348" i="1"/>
  <c r="T349" i="1" a="1"/>
  <c r="T349" i="1" s="1"/>
  <c r="T350" i="1" a="1"/>
  <c r="T350" i="1"/>
  <c r="T351" i="1" a="1"/>
  <c r="T351" i="1"/>
  <c r="T352" i="1" a="1"/>
  <c r="T352" i="1"/>
  <c r="T353" i="1" a="1"/>
  <c r="T353" i="1" s="1"/>
  <c r="T354" i="1" a="1"/>
  <c r="T354" i="1"/>
  <c r="T355" i="1" a="1"/>
  <c r="T355" i="1"/>
  <c r="T356" i="1" a="1"/>
  <c r="T356" i="1"/>
  <c r="T357" i="1" a="1"/>
  <c r="T357" i="1" s="1"/>
  <c r="T358" i="1" a="1"/>
  <c r="T358" i="1"/>
  <c r="T359" i="1" a="1"/>
  <c r="T359" i="1"/>
  <c r="T360" i="1" a="1"/>
  <c r="T360" i="1"/>
  <c r="T361" i="1" a="1"/>
  <c r="T361" i="1" s="1"/>
  <c r="T362" i="1" a="1"/>
  <c r="T362" i="1"/>
  <c r="T363" i="1" a="1"/>
  <c r="T363" i="1"/>
  <c r="T364" i="1" a="1"/>
  <c r="T364" i="1"/>
  <c r="T365" i="1" a="1"/>
  <c r="T365" i="1" s="1"/>
  <c r="T366" i="1" a="1"/>
  <c r="T366" i="1"/>
  <c r="T367" i="1" a="1"/>
  <c r="T367" i="1"/>
  <c r="T368" i="1" a="1"/>
  <c r="T368" i="1"/>
  <c r="T369" i="1" a="1"/>
  <c r="T369" i="1" s="1"/>
  <c r="T370" i="1" a="1"/>
  <c r="T370" i="1"/>
  <c r="T371" i="1" a="1"/>
  <c r="T371" i="1"/>
  <c r="T372" i="1" a="1"/>
  <c r="T372" i="1"/>
  <c r="T373" i="1" a="1"/>
  <c r="T373" i="1" s="1"/>
  <c r="T374" i="1" a="1"/>
  <c r="T374" i="1"/>
  <c r="T375" i="1" a="1"/>
  <c r="T375" i="1"/>
  <c r="T376" i="1" a="1"/>
  <c r="T376" i="1"/>
  <c r="T377" i="1" a="1"/>
  <c r="T377" i="1" s="1"/>
  <c r="T378" i="1" a="1"/>
  <c r="T378" i="1"/>
  <c r="T379" i="1" a="1"/>
  <c r="T379" i="1"/>
  <c r="T380" i="1" a="1"/>
  <c r="T380" i="1"/>
  <c r="T381" i="1" a="1"/>
  <c r="T381" i="1" s="1"/>
  <c r="T382" i="1" a="1"/>
  <c r="T382" i="1" s="1"/>
  <c r="T383" i="1" a="1"/>
  <c r="T383" i="1"/>
  <c r="T384" i="1" a="1"/>
  <c r="T384" i="1"/>
  <c r="T385" i="1" a="1"/>
  <c r="T385" i="1" s="1"/>
  <c r="T386" i="1" a="1"/>
  <c r="T386" i="1" s="1"/>
  <c r="T387" i="1" a="1"/>
  <c r="T387" i="1"/>
  <c r="T388" i="1" a="1"/>
  <c r="T388" i="1"/>
  <c r="T389" i="1" a="1"/>
  <c r="T389" i="1" s="1"/>
  <c r="T390" i="1" a="1"/>
  <c r="T390" i="1" s="1"/>
  <c r="T391" i="1" a="1"/>
  <c r="T391" i="1"/>
  <c r="T392" i="1" a="1"/>
  <c r="T392" i="1"/>
  <c r="T393" i="1" a="1"/>
  <c r="T393" i="1" s="1"/>
  <c r="T394" i="1" a="1"/>
  <c r="T394" i="1" s="1"/>
  <c r="T395" i="1" a="1"/>
  <c r="T395" i="1"/>
  <c r="T396" i="1" a="1"/>
  <c r="T396" i="1"/>
  <c r="T397" i="1" a="1"/>
  <c r="T397" i="1" s="1"/>
  <c r="T398" i="1" a="1"/>
  <c r="T398" i="1" s="1"/>
  <c r="T399" i="1" a="1"/>
  <c r="T399" i="1"/>
  <c r="T400" i="1" a="1"/>
  <c r="T400" i="1"/>
  <c r="T401" i="1" a="1"/>
  <c r="T401" i="1" s="1"/>
  <c r="T402" i="1" a="1"/>
  <c r="T402" i="1" s="1"/>
  <c r="T403" i="1" a="1"/>
  <c r="T403" i="1"/>
  <c r="T404" i="1" a="1"/>
  <c r="T404" i="1"/>
  <c r="T405" i="1" a="1"/>
  <c r="T405" i="1" s="1"/>
  <c r="T406" i="1" a="1"/>
  <c r="T406" i="1" s="1"/>
  <c r="T407" i="1" a="1"/>
  <c r="T407" i="1"/>
  <c r="T408" i="1" a="1"/>
  <c r="T408" i="1"/>
  <c r="T409" i="1" a="1"/>
  <c r="T409" i="1" s="1"/>
  <c r="T410" i="1" a="1"/>
  <c r="T410" i="1" s="1"/>
  <c r="T411" i="1" a="1"/>
  <c r="T411" i="1"/>
  <c r="T412" i="1" a="1"/>
  <c r="T412" i="1"/>
  <c r="T413" i="1" a="1"/>
  <c r="T413" i="1" s="1"/>
  <c r="T414" i="1" a="1"/>
  <c r="T414" i="1" s="1"/>
  <c r="T415" i="1" a="1"/>
  <c r="T415" i="1"/>
  <c r="T416" i="1" a="1"/>
  <c r="T416" i="1"/>
  <c r="T417" i="1" a="1"/>
  <c r="T417" i="1" s="1"/>
  <c r="T418" i="1" a="1"/>
  <c r="T418" i="1" s="1"/>
  <c r="T419" i="1" a="1"/>
  <c r="T419" i="1"/>
  <c r="T420" i="1" a="1"/>
  <c r="T420" i="1"/>
  <c r="T421" i="1" a="1"/>
  <c r="T421" i="1" s="1"/>
  <c r="T422" i="1" a="1"/>
  <c r="T422" i="1" s="1"/>
  <c r="T423" i="1" a="1"/>
  <c r="T423" i="1"/>
  <c r="T424" i="1" a="1"/>
  <c r="T424" i="1"/>
  <c r="T425" i="1" a="1"/>
  <c r="T425" i="1" s="1"/>
  <c r="T426" i="1" a="1"/>
  <c r="T426" i="1" s="1"/>
  <c r="T427" i="1" a="1"/>
  <c r="T427" i="1"/>
  <c r="T428" i="1" a="1"/>
  <c r="T428" i="1"/>
  <c r="T429" i="1" a="1"/>
  <c r="T429" i="1" s="1"/>
  <c r="T430" i="1" a="1"/>
  <c r="T430" i="1" s="1"/>
  <c r="T431" i="1" a="1"/>
  <c r="T431" i="1"/>
  <c r="T432" i="1" a="1"/>
  <c r="T432" i="1"/>
  <c r="T433" i="1" a="1"/>
  <c r="T433" i="1" s="1"/>
  <c r="T434" i="1" a="1"/>
  <c r="T434" i="1" s="1"/>
  <c r="T435" i="1" a="1"/>
  <c r="T435" i="1"/>
  <c r="T436" i="1" a="1"/>
  <c r="T436" i="1"/>
  <c r="T437" i="1" a="1"/>
  <c r="T437" i="1" s="1"/>
  <c r="T438" i="1" a="1"/>
  <c r="T438" i="1" s="1"/>
  <c r="T439" i="1" a="1"/>
  <c r="T439" i="1"/>
  <c r="T440" i="1" a="1"/>
  <c r="T440" i="1"/>
  <c r="T441" i="1" a="1"/>
  <c r="T441" i="1" s="1"/>
  <c r="T442" i="1" a="1"/>
  <c r="T442" i="1" s="1"/>
  <c r="T443" i="1" a="1"/>
  <c r="T443" i="1"/>
  <c r="T444" i="1" a="1"/>
  <c r="T444" i="1"/>
  <c r="T445" i="1" a="1"/>
  <c r="T445" i="1" s="1"/>
  <c r="T446" i="1" a="1"/>
  <c r="T446" i="1" s="1"/>
  <c r="T447" i="1" a="1"/>
  <c r="T447" i="1"/>
  <c r="T448" i="1" a="1"/>
  <c r="T448" i="1"/>
  <c r="T449" i="1" a="1"/>
  <c r="T449" i="1" s="1"/>
  <c r="T450" i="1" a="1"/>
  <c r="T450" i="1" s="1"/>
  <c r="T451" i="1" a="1"/>
  <c r="T451" i="1"/>
  <c r="T452" i="1" a="1"/>
  <c r="T452" i="1"/>
  <c r="T453" i="1" a="1"/>
  <c r="T453" i="1" s="1"/>
  <c r="T454" i="1" a="1"/>
  <c r="T454" i="1" s="1"/>
  <c r="T455" i="1" a="1"/>
  <c r="T455" i="1"/>
  <c r="T456" i="1" a="1"/>
  <c r="T456" i="1"/>
  <c r="T457" i="1" a="1"/>
  <c r="T457" i="1" s="1"/>
  <c r="T458" i="1" a="1"/>
  <c r="T458" i="1" s="1"/>
  <c r="T459" i="1" a="1"/>
  <c r="T459" i="1"/>
  <c r="T460" i="1" a="1"/>
  <c r="T460" i="1"/>
  <c r="T461" i="1" a="1"/>
  <c r="T461" i="1" s="1"/>
  <c r="T462" i="1" a="1"/>
  <c r="T462" i="1" s="1"/>
  <c r="T463" i="1" a="1"/>
  <c r="T463" i="1"/>
  <c r="T464" i="1" a="1"/>
  <c r="T464" i="1"/>
  <c r="T465" i="1" a="1"/>
  <c r="T465" i="1" s="1"/>
  <c r="T466" i="1" a="1"/>
  <c r="T466" i="1" s="1"/>
  <c r="T467" i="1" a="1"/>
  <c r="T467" i="1"/>
  <c r="T468" i="1" a="1"/>
  <c r="T468" i="1"/>
  <c r="T469" i="1" a="1"/>
  <c r="T469" i="1" s="1"/>
  <c r="T470" i="1" a="1"/>
  <c r="T470" i="1" s="1"/>
  <c r="T471" i="1" a="1"/>
  <c r="T471" i="1"/>
  <c r="T472" i="1" a="1"/>
  <c r="T472" i="1"/>
  <c r="T473" i="1" a="1"/>
  <c r="T473" i="1" s="1"/>
  <c r="T474" i="1" a="1"/>
  <c r="T474" i="1" s="1"/>
  <c r="T475" i="1" a="1"/>
  <c r="T475" i="1"/>
  <c r="T476" i="1" a="1"/>
  <c r="T476" i="1"/>
  <c r="T477" i="1" a="1"/>
  <c r="T477" i="1" s="1"/>
  <c r="T478" i="1" a="1"/>
  <c r="T478" i="1" s="1"/>
  <c r="T479" i="1" a="1"/>
  <c r="T479" i="1"/>
  <c r="T480" i="1" a="1"/>
  <c r="T480" i="1"/>
  <c r="T481" i="1" a="1"/>
  <c r="T481" i="1" s="1"/>
  <c r="T482" i="1" a="1"/>
  <c r="T482" i="1" s="1"/>
  <c r="T483" i="1" a="1"/>
  <c r="T483" i="1"/>
  <c r="T484" i="1" a="1"/>
  <c r="T484" i="1"/>
  <c r="T485" i="1" a="1"/>
  <c r="T485" i="1" s="1"/>
  <c r="T486" i="1" a="1"/>
  <c r="T486" i="1" s="1"/>
  <c r="T487" i="1" a="1"/>
  <c r="T487" i="1"/>
  <c r="T488" i="1" a="1"/>
  <c r="T488" i="1"/>
  <c r="T489" i="1" a="1"/>
  <c r="T489" i="1" s="1"/>
  <c r="T490" i="1" a="1"/>
  <c r="T490" i="1" s="1"/>
  <c r="T491" i="1" a="1"/>
  <c r="T491" i="1"/>
  <c r="T492" i="1" a="1"/>
  <c r="T492" i="1"/>
  <c r="T493" i="1" a="1"/>
  <c r="T493" i="1" s="1"/>
  <c r="T494" i="1" a="1"/>
  <c r="T494" i="1" s="1"/>
  <c r="T495" i="1" a="1"/>
  <c r="T495" i="1"/>
  <c r="T496" i="1" a="1"/>
  <c r="T496" i="1"/>
  <c r="T497" i="1" a="1"/>
  <c r="T497" i="1" s="1"/>
  <c r="T498" i="1" a="1"/>
  <c r="T498" i="1" s="1"/>
  <c r="T499" i="1" a="1"/>
  <c r="T499" i="1"/>
  <c r="T500" i="1" a="1"/>
  <c r="T500" i="1"/>
  <c r="T501" i="1" a="1"/>
  <c r="T501" i="1" s="1"/>
  <c r="R2" i="1"/>
  <c r="S2" i="1" s="1" a="1"/>
  <c r="S2" i="1" s="1"/>
  <c r="R3" i="1"/>
  <c r="S3" i="1" s="1" a="1"/>
  <c r="S3" i="1" s="1"/>
  <c r="R4" i="1"/>
  <c r="S4" i="1" s="1" a="1"/>
  <c r="S4" i="1" s="1"/>
  <c r="R5" i="1"/>
  <c r="S5" i="1" s="1" a="1"/>
  <c r="S5" i="1" s="1"/>
  <c r="R6" i="1"/>
  <c r="S6" i="1" s="1" a="1"/>
  <c r="S6" i="1" s="1"/>
  <c r="R7" i="1"/>
  <c r="S7" i="1" s="1" a="1"/>
  <c r="S7" i="1" s="1"/>
  <c r="R8" i="1"/>
  <c r="S8" i="1" s="1" a="1"/>
  <c r="S8" i="1" s="1"/>
  <c r="R9" i="1"/>
  <c r="S9" i="1" s="1" a="1"/>
  <c r="S9" i="1" s="1"/>
  <c r="R10" i="1"/>
  <c r="S10" i="1" s="1" a="1"/>
  <c r="S10" i="1" s="1"/>
  <c r="R11" i="1"/>
  <c r="S11" i="1" s="1" a="1"/>
  <c r="S11" i="1" s="1"/>
  <c r="R12" i="1"/>
  <c r="S12" i="1" s="1" a="1"/>
  <c r="S12" i="1" s="1"/>
  <c r="R13" i="1"/>
  <c r="S13" i="1" s="1" a="1"/>
  <c r="S13" i="1" s="1"/>
  <c r="R14" i="1"/>
  <c r="S14" i="1" s="1" a="1"/>
  <c r="S14" i="1" s="1"/>
  <c r="R15" i="1"/>
  <c r="S15" i="1" s="1" a="1"/>
  <c r="S15" i="1" s="1"/>
  <c r="R16" i="1"/>
  <c r="S16" i="1" s="1" a="1"/>
  <c r="S16" i="1" s="1"/>
  <c r="R17" i="1"/>
  <c r="S17" i="1" s="1" a="1"/>
  <c r="S17" i="1" s="1"/>
  <c r="R18" i="1"/>
  <c r="S18" i="1" s="1" a="1"/>
  <c r="S18" i="1" s="1"/>
  <c r="R19" i="1"/>
  <c r="S19" i="1" s="1" a="1"/>
  <c r="S19" i="1" s="1"/>
  <c r="R20" i="1"/>
  <c r="S20" i="1" s="1" a="1"/>
  <c r="S20" i="1" s="1"/>
  <c r="R21" i="1"/>
  <c r="S21" i="1" s="1" a="1"/>
  <c r="S21" i="1" s="1"/>
  <c r="R22" i="1"/>
  <c r="S22" i="1" s="1" a="1"/>
  <c r="S22" i="1" s="1"/>
  <c r="R23" i="1"/>
  <c r="S23" i="1" s="1" a="1"/>
  <c r="S23" i="1" s="1"/>
  <c r="R24" i="1"/>
  <c r="S24" i="1" s="1" a="1"/>
  <c r="S24" i="1" s="1"/>
  <c r="R25" i="1"/>
  <c r="S25" i="1" s="1" a="1"/>
  <c r="S25" i="1" s="1"/>
  <c r="R26" i="1"/>
  <c r="S26" i="1" s="1" a="1"/>
  <c r="S26" i="1" s="1"/>
  <c r="R27" i="1"/>
  <c r="S27" i="1" s="1" a="1"/>
  <c r="S27" i="1" s="1"/>
  <c r="R28" i="1"/>
  <c r="S28" i="1" s="1" a="1"/>
  <c r="S28" i="1" s="1"/>
  <c r="R29" i="1"/>
  <c r="S29" i="1" s="1" a="1"/>
  <c r="S29" i="1" s="1"/>
  <c r="R30" i="1"/>
  <c r="S30" i="1" s="1" a="1"/>
  <c r="S30" i="1" s="1"/>
  <c r="R31" i="1"/>
  <c r="S31" i="1" s="1" a="1"/>
  <c r="S31" i="1" s="1"/>
  <c r="R32" i="1"/>
  <c r="S32" i="1" s="1" a="1"/>
  <c r="S32" i="1" s="1"/>
  <c r="R33" i="1"/>
  <c r="S33" i="1" s="1" a="1"/>
  <c r="S33" i="1" s="1"/>
  <c r="R34" i="1"/>
  <c r="S34" i="1" s="1" a="1"/>
  <c r="S34" i="1" s="1"/>
  <c r="R35" i="1"/>
  <c r="S35" i="1" s="1" a="1"/>
  <c r="S35" i="1" s="1"/>
  <c r="R36" i="1"/>
  <c r="S36" i="1" s="1" a="1"/>
  <c r="S36" i="1" s="1"/>
  <c r="R37" i="1"/>
  <c r="S37" i="1" s="1" a="1"/>
  <c r="S37" i="1" s="1"/>
  <c r="R38" i="1"/>
  <c r="S38" i="1" s="1" a="1"/>
  <c r="S38" i="1" s="1"/>
  <c r="R39" i="1"/>
  <c r="S39" i="1" s="1" a="1"/>
  <c r="S39" i="1" s="1"/>
  <c r="R40" i="1"/>
  <c r="S40" i="1" s="1" a="1"/>
  <c r="S40" i="1" s="1"/>
  <c r="R41" i="1"/>
  <c r="S41" i="1" s="1" a="1"/>
  <c r="S41" i="1" s="1"/>
  <c r="R42" i="1"/>
  <c r="S42" i="1" s="1" a="1"/>
  <c r="S42" i="1" s="1"/>
  <c r="R43" i="1"/>
  <c r="S43" i="1" s="1" a="1"/>
  <c r="S43" i="1" s="1"/>
  <c r="R44" i="1"/>
  <c r="S44" i="1" s="1" a="1"/>
  <c r="S44" i="1" s="1"/>
  <c r="R45" i="1"/>
  <c r="S45" i="1" s="1" a="1"/>
  <c r="S45" i="1" s="1"/>
  <c r="R46" i="1"/>
  <c r="S46" i="1" s="1" a="1"/>
  <c r="S46" i="1" s="1"/>
  <c r="R47" i="1"/>
  <c r="S47" i="1" s="1" a="1"/>
  <c r="S47" i="1" s="1"/>
  <c r="R48" i="1"/>
  <c r="S48" i="1" s="1" a="1"/>
  <c r="S48" i="1" s="1"/>
  <c r="R49" i="1"/>
  <c r="S49" i="1" s="1" a="1"/>
  <c r="S49" i="1" s="1"/>
  <c r="R50" i="1"/>
  <c r="S50" i="1" s="1" a="1"/>
  <c r="S50" i="1" s="1"/>
  <c r="R51" i="1"/>
  <c r="S51" i="1" s="1" a="1"/>
  <c r="S51" i="1" s="1"/>
  <c r="R52" i="1"/>
  <c r="S52" i="1" s="1" a="1"/>
  <c r="S52" i="1" s="1"/>
  <c r="R53" i="1"/>
  <c r="S53" i="1" s="1" a="1"/>
  <c r="S53" i="1" s="1"/>
  <c r="R54" i="1"/>
  <c r="S54" i="1" s="1" a="1"/>
  <c r="S54" i="1" s="1"/>
  <c r="R55" i="1"/>
  <c r="S55" i="1" s="1" a="1"/>
  <c r="S55" i="1" s="1"/>
  <c r="R56" i="1"/>
  <c r="S56" i="1" s="1" a="1"/>
  <c r="S56" i="1" s="1"/>
  <c r="R57" i="1"/>
  <c r="S57" i="1" s="1" a="1"/>
  <c r="S57" i="1" s="1"/>
  <c r="R58" i="1"/>
  <c r="S58" i="1" s="1" a="1"/>
  <c r="S58" i="1" s="1"/>
  <c r="R59" i="1"/>
  <c r="S59" i="1" s="1" a="1"/>
  <c r="S59" i="1" s="1"/>
  <c r="R60" i="1"/>
  <c r="S60" i="1" s="1" a="1"/>
  <c r="S60" i="1" s="1"/>
  <c r="R61" i="1"/>
  <c r="S61" i="1" s="1" a="1"/>
  <c r="S61" i="1" s="1"/>
  <c r="R62" i="1"/>
  <c r="S62" i="1" s="1" a="1"/>
  <c r="S62" i="1" s="1"/>
  <c r="R63" i="1"/>
  <c r="S63" i="1" s="1" a="1"/>
  <c r="S63" i="1" s="1"/>
  <c r="R64" i="1"/>
  <c r="S64" i="1" s="1" a="1"/>
  <c r="S64" i="1" s="1"/>
  <c r="R65" i="1"/>
  <c r="S65" i="1" s="1" a="1"/>
  <c r="S65" i="1" s="1"/>
  <c r="R66" i="1"/>
  <c r="S66" i="1" s="1" a="1"/>
  <c r="S66" i="1" s="1"/>
  <c r="R67" i="1"/>
  <c r="S67" i="1" s="1" a="1"/>
  <c r="S67" i="1" s="1"/>
  <c r="R68" i="1"/>
  <c r="S68" i="1" s="1" a="1"/>
  <c r="S68" i="1" s="1"/>
  <c r="R69" i="1"/>
  <c r="S69" i="1" s="1" a="1"/>
  <c r="S69" i="1" s="1"/>
  <c r="R70" i="1"/>
  <c r="S70" i="1" s="1" a="1"/>
  <c r="S70" i="1" s="1"/>
  <c r="R71" i="1"/>
  <c r="S71" i="1" s="1" a="1"/>
  <c r="S71" i="1" s="1"/>
  <c r="R72" i="1"/>
  <c r="S72" i="1" s="1" a="1"/>
  <c r="S72" i="1" s="1"/>
  <c r="R73" i="1"/>
  <c r="S73" i="1" s="1" a="1"/>
  <c r="S73" i="1" s="1"/>
  <c r="R74" i="1"/>
  <c r="S74" i="1" s="1" a="1"/>
  <c r="S74" i="1" s="1"/>
  <c r="R75" i="1"/>
  <c r="S75" i="1" s="1" a="1"/>
  <c r="S75" i="1" s="1"/>
  <c r="R76" i="1"/>
  <c r="S76" i="1" s="1" a="1"/>
  <c r="S76" i="1" s="1"/>
  <c r="R77" i="1"/>
  <c r="S77" i="1" s="1" a="1"/>
  <c r="S77" i="1" s="1"/>
  <c r="R78" i="1"/>
  <c r="S78" i="1" s="1" a="1"/>
  <c r="S78" i="1" s="1"/>
  <c r="R79" i="1"/>
  <c r="S79" i="1" s="1" a="1"/>
  <c r="S79" i="1" s="1"/>
  <c r="R80" i="1"/>
  <c r="S80" i="1" s="1" a="1"/>
  <c r="S80" i="1" s="1"/>
  <c r="R81" i="1"/>
  <c r="S81" i="1" s="1" a="1"/>
  <c r="S81" i="1" s="1"/>
  <c r="R82" i="1"/>
  <c r="S82" i="1" s="1" a="1"/>
  <c r="S82" i="1" s="1"/>
  <c r="R83" i="1"/>
  <c r="S83" i="1" s="1" a="1"/>
  <c r="S83" i="1" s="1"/>
  <c r="R84" i="1"/>
  <c r="S84" i="1" s="1" a="1"/>
  <c r="S84" i="1" s="1"/>
  <c r="R85" i="1"/>
  <c r="S85" i="1" s="1" a="1"/>
  <c r="S85" i="1" s="1"/>
  <c r="R86" i="1"/>
  <c r="S86" i="1" s="1" a="1"/>
  <c r="S86" i="1" s="1"/>
  <c r="R87" i="1"/>
  <c r="S87" i="1" s="1" a="1"/>
  <c r="S87" i="1" s="1"/>
  <c r="R88" i="1"/>
  <c r="S88" i="1" s="1" a="1"/>
  <c r="S88" i="1" s="1"/>
  <c r="R89" i="1"/>
  <c r="S89" i="1" s="1" a="1"/>
  <c r="S89" i="1" s="1"/>
  <c r="R90" i="1"/>
  <c r="S90" i="1" s="1" a="1"/>
  <c r="S90" i="1" s="1"/>
  <c r="R91" i="1"/>
  <c r="S91" i="1" s="1" a="1"/>
  <c r="S91" i="1" s="1"/>
  <c r="R92" i="1"/>
  <c r="S92" i="1" s="1" a="1"/>
  <c r="S92" i="1" s="1"/>
  <c r="R93" i="1"/>
  <c r="S93" i="1" s="1" a="1"/>
  <c r="S93" i="1" s="1"/>
  <c r="R94" i="1"/>
  <c r="S94" i="1" s="1" a="1"/>
  <c r="S94" i="1" s="1"/>
  <c r="R95" i="1"/>
  <c r="S95" i="1" s="1" a="1"/>
  <c r="S95" i="1" s="1"/>
  <c r="R96" i="1"/>
  <c r="S96" i="1" s="1" a="1"/>
  <c r="S96" i="1" s="1"/>
  <c r="R97" i="1"/>
  <c r="S97" i="1" s="1" a="1"/>
  <c r="S97" i="1" s="1"/>
  <c r="R98" i="1"/>
  <c r="S98" i="1" s="1" a="1"/>
  <c r="S98" i="1" s="1"/>
  <c r="R99" i="1"/>
  <c r="S99" i="1" s="1" a="1"/>
  <c r="S99" i="1" s="1"/>
  <c r="R100" i="1"/>
  <c r="S100" i="1" s="1" a="1"/>
  <c r="S100" i="1" s="1"/>
  <c r="R101" i="1"/>
  <c r="S101" i="1" s="1" a="1"/>
  <c r="S101" i="1" s="1"/>
  <c r="R102" i="1"/>
  <c r="S102" i="1" s="1" a="1"/>
  <c r="S102" i="1" s="1"/>
  <c r="R103" i="1"/>
  <c r="S103" i="1" s="1" a="1"/>
  <c r="S103" i="1" s="1"/>
  <c r="R104" i="1"/>
  <c r="S104" i="1" s="1" a="1"/>
  <c r="S104" i="1" s="1"/>
  <c r="R105" i="1"/>
  <c r="S105" i="1" s="1" a="1"/>
  <c r="S105" i="1" s="1"/>
  <c r="R106" i="1"/>
  <c r="S106" i="1" s="1" a="1"/>
  <c r="S106" i="1" s="1"/>
  <c r="R107" i="1"/>
  <c r="S107" i="1" s="1" a="1"/>
  <c r="S107" i="1" s="1"/>
  <c r="R108" i="1"/>
  <c r="S108" i="1" s="1" a="1"/>
  <c r="S108" i="1" s="1"/>
  <c r="R109" i="1"/>
  <c r="S109" i="1" s="1" a="1"/>
  <c r="S109" i="1" s="1"/>
  <c r="R110" i="1"/>
  <c r="S110" i="1" s="1" a="1"/>
  <c r="S110" i="1" s="1"/>
  <c r="R111" i="1"/>
  <c r="S111" i="1" s="1" a="1"/>
  <c r="S111" i="1" s="1"/>
  <c r="R112" i="1"/>
  <c r="S112" i="1" s="1" a="1"/>
  <c r="S112" i="1" s="1"/>
  <c r="R113" i="1"/>
  <c r="S113" i="1" s="1" a="1"/>
  <c r="S113" i="1" s="1"/>
  <c r="R114" i="1"/>
  <c r="S114" i="1" s="1" a="1"/>
  <c r="S114" i="1" s="1"/>
  <c r="R115" i="1"/>
  <c r="S115" i="1" s="1" a="1"/>
  <c r="S115" i="1" s="1"/>
  <c r="R116" i="1"/>
  <c r="S116" i="1" s="1" a="1"/>
  <c r="S116" i="1" s="1"/>
  <c r="R117" i="1"/>
  <c r="S117" i="1" s="1" a="1"/>
  <c r="S117" i="1" s="1"/>
  <c r="R118" i="1"/>
  <c r="S118" i="1" s="1" a="1"/>
  <c r="S118" i="1" s="1"/>
  <c r="R119" i="1"/>
  <c r="S119" i="1" s="1" a="1"/>
  <c r="S119" i="1" s="1"/>
  <c r="R120" i="1"/>
  <c r="S120" i="1" s="1" a="1"/>
  <c r="S120" i="1" s="1"/>
  <c r="R121" i="1"/>
  <c r="S121" i="1" s="1" a="1"/>
  <c r="S121" i="1" s="1"/>
  <c r="R122" i="1"/>
  <c r="S122" i="1" s="1" a="1"/>
  <c r="S122" i="1" s="1"/>
  <c r="R123" i="1"/>
  <c r="S123" i="1" s="1" a="1"/>
  <c r="S123" i="1" s="1"/>
  <c r="R124" i="1"/>
  <c r="S124" i="1" s="1" a="1"/>
  <c r="S124" i="1" s="1"/>
  <c r="R125" i="1"/>
  <c r="S125" i="1" s="1" a="1"/>
  <c r="S125" i="1" s="1"/>
  <c r="R126" i="1"/>
  <c r="S126" i="1" s="1" a="1"/>
  <c r="S126" i="1" s="1"/>
  <c r="R127" i="1"/>
  <c r="S127" i="1" s="1" a="1"/>
  <c r="S127" i="1" s="1"/>
  <c r="R128" i="1"/>
  <c r="S128" i="1" s="1" a="1"/>
  <c r="S128" i="1" s="1"/>
  <c r="R129" i="1"/>
  <c r="S129" i="1" s="1" a="1"/>
  <c r="S129" i="1" s="1"/>
  <c r="R130" i="1"/>
  <c r="S130" i="1" s="1" a="1"/>
  <c r="S130" i="1" s="1"/>
  <c r="R131" i="1"/>
  <c r="S131" i="1" s="1" a="1"/>
  <c r="S131" i="1" s="1"/>
  <c r="R132" i="1"/>
  <c r="S132" i="1" s="1" a="1"/>
  <c r="S132" i="1" s="1"/>
  <c r="R133" i="1"/>
  <c r="S133" i="1" s="1" a="1"/>
  <c r="S133" i="1" s="1"/>
  <c r="R134" i="1"/>
  <c r="S134" i="1" s="1" a="1"/>
  <c r="S134" i="1" s="1"/>
  <c r="R135" i="1"/>
  <c r="S135" i="1" s="1" a="1"/>
  <c r="S135" i="1" s="1"/>
  <c r="R136" i="1"/>
  <c r="S136" i="1" s="1" a="1"/>
  <c r="S136" i="1" s="1"/>
  <c r="R137" i="1"/>
  <c r="S137" i="1" s="1" a="1"/>
  <c r="S137" i="1" s="1"/>
  <c r="R138" i="1"/>
  <c r="S138" i="1" s="1" a="1"/>
  <c r="S138" i="1" s="1"/>
  <c r="R139" i="1"/>
  <c r="S139" i="1" s="1" a="1"/>
  <c r="S139" i="1" s="1"/>
  <c r="R140" i="1"/>
  <c r="S140" i="1" s="1" a="1"/>
  <c r="S140" i="1" s="1"/>
  <c r="R141" i="1"/>
  <c r="S141" i="1" s="1" a="1"/>
  <c r="S141" i="1" s="1"/>
  <c r="R142" i="1"/>
  <c r="S142" i="1" s="1" a="1"/>
  <c r="S142" i="1" s="1"/>
  <c r="R143" i="1"/>
  <c r="S143" i="1" s="1" a="1"/>
  <c r="S143" i="1" s="1"/>
  <c r="R144" i="1"/>
  <c r="S144" i="1" s="1" a="1"/>
  <c r="S144" i="1" s="1"/>
  <c r="R145" i="1"/>
  <c r="S145" i="1" s="1" a="1"/>
  <c r="S145" i="1" s="1"/>
  <c r="R146" i="1"/>
  <c r="S146" i="1" s="1" a="1"/>
  <c r="S146" i="1" s="1"/>
  <c r="R147" i="1"/>
  <c r="S147" i="1" s="1" a="1"/>
  <c r="S147" i="1" s="1"/>
  <c r="R148" i="1"/>
  <c r="S148" i="1" s="1" a="1"/>
  <c r="S148" i="1" s="1"/>
  <c r="R149" i="1"/>
  <c r="S149" i="1" s="1" a="1"/>
  <c r="S149" i="1" s="1"/>
  <c r="R150" i="1"/>
  <c r="S150" i="1" s="1" a="1"/>
  <c r="S150" i="1" s="1"/>
  <c r="R151" i="1"/>
  <c r="S151" i="1" s="1" a="1"/>
  <c r="S151" i="1" s="1"/>
  <c r="R152" i="1"/>
  <c r="S152" i="1" s="1" a="1"/>
  <c r="S152" i="1" s="1"/>
  <c r="R153" i="1"/>
  <c r="S153" i="1" s="1" a="1"/>
  <c r="S153" i="1" s="1"/>
  <c r="R154" i="1"/>
  <c r="S154" i="1" s="1" a="1"/>
  <c r="S154" i="1" s="1"/>
  <c r="R155" i="1"/>
  <c r="S155" i="1" s="1" a="1"/>
  <c r="S155" i="1" s="1"/>
  <c r="R156" i="1"/>
  <c r="S156" i="1" s="1" a="1"/>
  <c r="S156" i="1" s="1"/>
  <c r="R157" i="1"/>
  <c r="S157" i="1" s="1" a="1"/>
  <c r="S157" i="1" s="1"/>
  <c r="R158" i="1"/>
  <c r="S158" i="1" s="1" a="1"/>
  <c r="S158" i="1" s="1"/>
  <c r="R159" i="1"/>
  <c r="S159" i="1" s="1" a="1"/>
  <c r="S159" i="1" s="1"/>
  <c r="R160" i="1"/>
  <c r="S160" i="1" s="1" a="1"/>
  <c r="S160" i="1" s="1"/>
  <c r="R161" i="1"/>
  <c r="S161" i="1" s="1" a="1"/>
  <c r="S161" i="1" s="1"/>
  <c r="R162" i="1"/>
  <c r="S162" i="1" s="1" a="1"/>
  <c r="S162" i="1" s="1"/>
  <c r="R163" i="1"/>
  <c r="S163" i="1" s="1" a="1"/>
  <c r="S163" i="1" s="1"/>
  <c r="R164" i="1"/>
  <c r="S164" i="1" s="1" a="1"/>
  <c r="S164" i="1" s="1"/>
  <c r="R165" i="1"/>
  <c r="S165" i="1" s="1" a="1"/>
  <c r="S165" i="1" s="1"/>
  <c r="R166" i="1"/>
  <c r="S166" i="1" s="1" a="1"/>
  <c r="S166" i="1" s="1"/>
  <c r="R167" i="1"/>
  <c r="S167" i="1" s="1" a="1"/>
  <c r="S167" i="1" s="1"/>
  <c r="R168" i="1"/>
  <c r="S168" i="1" s="1" a="1"/>
  <c r="S168" i="1" s="1"/>
  <c r="R169" i="1"/>
  <c r="S169" i="1" s="1" a="1"/>
  <c r="S169" i="1" s="1"/>
  <c r="R170" i="1"/>
  <c r="S170" i="1" s="1" a="1"/>
  <c r="S170" i="1" s="1"/>
  <c r="R171" i="1"/>
  <c r="S171" i="1" s="1" a="1"/>
  <c r="S171" i="1" s="1"/>
  <c r="R172" i="1"/>
  <c r="S172" i="1" s="1" a="1"/>
  <c r="S172" i="1" s="1"/>
  <c r="R173" i="1"/>
  <c r="S173" i="1" s="1" a="1"/>
  <c r="S173" i="1" s="1"/>
  <c r="R174" i="1"/>
  <c r="S174" i="1" s="1" a="1"/>
  <c r="S174" i="1" s="1"/>
  <c r="R175" i="1"/>
  <c r="S175" i="1" s="1" a="1"/>
  <c r="S175" i="1" s="1"/>
  <c r="R176" i="1"/>
  <c r="S176" i="1" s="1" a="1"/>
  <c r="S176" i="1" s="1"/>
  <c r="R177" i="1"/>
  <c r="S177" i="1" s="1" a="1"/>
  <c r="S177" i="1" s="1"/>
  <c r="R178" i="1"/>
  <c r="S178" i="1" s="1" a="1"/>
  <c r="S178" i="1" s="1"/>
  <c r="R179" i="1"/>
  <c r="S179" i="1" s="1" a="1"/>
  <c r="S179" i="1" s="1"/>
  <c r="R180" i="1"/>
  <c r="S180" i="1" s="1" a="1"/>
  <c r="S180" i="1" s="1"/>
  <c r="R181" i="1"/>
  <c r="S181" i="1" s="1" a="1"/>
  <c r="S181" i="1" s="1"/>
  <c r="R182" i="1"/>
  <c r="S182" i="1" s="1" a="1"/>
  <c r="S182" i="1" s="1"/>
  <c r="R183" i="1"/>
  <c r="S183" i="1" s="1" a="1"/>
  <c r="S183" i="1" s="1"/>
  <c r="R184" i="1"/>
  <c r="S184" i="1" s="1" a="1"/>
  <c r="S184" i="1" s="1"/>
  <c r="R185" i="1"/>
  <c r="S185" i="1" s="1" a="1"/>
  <c r="S185" i="1" s="1"/>
  <c r="R186" i="1"/>
  <c r="S186" i="1" s="1" a="1"/>
  <c r="S186" i="1" s="1"/>
  <c r="R187" i="1"/>
  <c r="S187" i="1" s="1" a="1"/>
  <c r="S187" i="1" s="1"/>
  <c r="R188" i="1"/>
  <c r="S188" i="1" s="1" a="1"/>
  <c r="S188" i="1" s="1"/>
  <c r="R189" i="1"/>
  <c r="S189" i="1" s="1" a="1"/>
  <c r="S189" i="1" s="1"/>
  <c r="R190" i="1"/>
  <c r="S190" i="1" s="1" a="1"/>
  <c r="S190" i="1" s="1"/>
  <c r="R191" i="1"/>
  <c r="S191" i="1" s="1" a="1"/>
  <c r="S191" i="1" s="1"/>
  <c r="R192" i="1"/>
  <c r="S192" i="1" s="1" a="1"/>
  <c r="S192" i="1" s="1"/>
  <c r="R193" i="1"/>
  <c r="S193" i="1" s="1" a="1"/>
  <c r="S193" i="1" s="1"/>
  <c r="R194" i="1"/>
  <c r="S194" i="1" s="1" a="1"/>
  <c r="S194" i="1" s="1"/>
  <c r="R195" i="1"/>
  <c r="S195" i="1" s="1" a="1"/>
  <c r="S195" i="1" s="1"/>
  <c r="R196" i="1"/>
  <c r="S196" i="1" s="1" a="1"/>
  <c r="S196" i="1" s="1"/>
  <c r="R197" i="1"/>
  <c r="S197" i="1" s="1" a="1"/>
  <c r="S197" i="1" s="1"/>
  <c r="R198" i="1"/>
  <c r="S198" i="1" s="1" a="1"/>
  <c r="S198" i="1" s="1"/>
  <c r="R199" i="1"/>
  <c r="S199" i="1" s="1" a="1"/>
  <c r="S199" i="1" s="1"/>
  <c r="R200" i="1"/>
  <c r="S200" i="1" s="1" a="1"/>
  <c r="S200" i="1" s="1"/>
  <c r="R201" i="1"/>
  <c r="S201" i="1" s="1" a="1"/>
  <c r="S201" i="1" s="1"/>
  <c r="R202" i="1"/>
  <c r="S202" i="1" s="1" a="1"/>
  <c r="S202" i="1" s="1"/>
  <c r="R203" i="1"/>
  <c r="S203" i="1" s="1" a="1"/>
  <c r="S203" i="1" s="1"/>
  <c r="R204" i="1"/>
  <c r="S204" i="1" s="1" a="1"/>
  <c r="S204" i="1" s="1"/>
  <c r="R205" i="1"/>
  <c r="S205" i="1" s="1" a="1"/>
  <c r="S205" i="1" s="1"/>
  <c r="R206" i="1"/>
  <c r="S206" i="1" s="1" a="1"/>
  <c r="S206" i="1" s="1"/>
  <c r="R207" i="1"/>
  <c r="S207" i="1" s="1" a="1"/>
  <c r="S207" i="1" s="1"/>
  <c r="R208" i="1"/>
  <c r="S208" i="1" s="1" a="1"/>
  <c r="S208" i="1" s="1"/>
  <c r="R209" i="1"/>
  <c r="S209" i="1" s="1" a="1"/>
  <c r="S209" i="1" s="1"/>
  <c r="R210" i="1"/>
  <c r="S210" i="1" s="1" a="1"/>
  <c r="S210" i="1" s="1"/>
  <c r="R211" i="1"/>
  <c r="S211" i="1" s="1" a="1"/>
  <c r="S211" i="1" s="1"/>
  <c r="R212" i="1"/>
  <c r="S212" i="1" s="1" a="1"/>
  <c r="S212" i="1" s="1"/>
  <c r="R213" i="1"/>
  <c r="S213" i="1" s="1" a="1"/>
  <c r="S213" i="1" s="1"/>
  <c r="R214" i="1"/>
  <c r="S214" i="1" s="1" a="1"/>
  <c r="S214" i="1" s="1"/>
  <c r="R215" i="1"/>
  <c r="S215" i="1" s="1" a="1"/>
  <c r="S215" i="1" s="1"/>
  <c r="R216" i="1"/>
  <c r="S216" i="1" s="1" a="1"/>
  <c r="S216" i="1" s="1"/>
  <c r="R217" i="1"/>
  <c r="S217" i="1" s="1" a="1"/>
  <c r="S217" i="1" s="1"/>
  <c r="R218" i="1"/>
  <c r="S218" i="1" s="1" a="1"/>
  <c r="S218" i="1" s="1"/>
  <c r="R219" i="1"/>
  <c r="S219" i="1" s="1" a="1"/>
  <c r="S219" i="1" s="1"/>
  <c r="R220" i="1"/>
  <c r="S220" i="1" s="1" a="1"/>
  <c r="S220" i="1" s="1"/>
  <c r="R221" i="1"/>
  <c r="S221" i="1" s="1" a="1"/>
  <c r="S221" i="1" s="1"/>
  <c r="R222" i="1"/>
  <c r="S222" i="1" s="1" a="1"/>
  <c r="S222" i="1" s="1"/>
  <c r="R223" i="1"/>
  <c r="S223" i="1" s="1" a="1"/>
  <c r="S223" i="1" s="1"/>
  <c r="R224" i="1"/>
  <c r="S224" i="1" s="1" a="1"/>
  <c r="S224" i="1" s="1"/>
  <c r="R225" i="1"/>
  <c r="S225" i="1" s="1" a="1"/>
  <c r="S225" i="1" s="1"/>
  <c r="R226" i="1"/>
  <c r="S226" i="1" s="1" a="1"/>
  <c r="S226" i="1" s="1"/>
  <c r="R227" i="1"/>
  <c r="S227" i="1" s="1" a="1"/>
  <c r="S227" i="1" s="1"/>
  <c r="R228" i="1"/>
  <c r="S228" i="1" s="1" a="1"/>
  <c r="S228" i="1" s="1"/>
  <c r="R229" i="1"/>
  <c r="S229" i="1" s="1" a="1"/>
  <c r="S229" i="1" s="1"/>
  <c r="R230" i="1"/>
  <c r="S230" i="1" s="1" a="1"/>
  <c r="S230" i="1" s="1"/>
  <c r="R231" i="1"/>
  <c r="S231" i="1" s="1" a="1"/>
  <c r="S231" i="1" s="1"/>
  <c r="R232" i="1"/>
  <c r="S232" i="1" s="1" a="1"/>
  <c r="S232" i="1" s="1"/>
  <c r="R233" i="1"/>
  <c r="S233" i="1" s="1" a="1"/>
  <c r="S233" i="1" s="1"/>
  <c r="R234" i="1"/>
  <c r="S234" i="1" s="1" a="1"/>
  <c r="S234" i="1" s="1"/>
  <c r="R235" i="1"/>
  <c r="S235" i="1" s="1" a="1"/>
  <c r="S235" i="1" s="1"/>
  <c r="R236" i="1"/>
  <c r="S236" i="1" s="1" a="1"/>
  <c r="S236" i="1" s="1"/>
  <c r="R237" i="1"/>
  <c r="S237" i="1" s="1" a="1"/>
  <c r="S237" i="1" s="1"/>
  <c r="R238" i="1"/>
  <c r="S238" i="1" s="1" a="1"/>
  <c r="S238" i="1" s="1"/>
  <c r="R239" i="1"/>
  <c r="S239" i="1" s="1" a="1"/>
  <c r="S239" i="1" s="1"/>
  <c r="R240" i="1"/>
  <c r="S240" i="1" s="1" a="1"/>
  <c r="S240" i="1" s="1"/>
  <c r="R241" i="1"/>
  <c r="S241" i="1" s="1" a="1"/>
  <c r="S241" i="1" s="1"/>
  <c r="R242" i="1"/>
  <c r="S242" i="1" s="1" a="1"/>
  <c r="S242" i="1" s="1"/>
  <c r="R243" i="1"/>
  <c r="S243" i="1" s="1" a="1"/>
  <c r="S243" i="1" s="1"/>
  <c r="R244" i="1"/>
  <c r="S244" i="1" s="1" a="1"/>
  <c r="S244" i="1" s="1"/>
  <c r="R245" i="1"/>
  <c r="S245" i="1" s="1" a="1"/>
  <c r="S245" i="1" s="1"/>
  <c r="R246" i="1"/>
  <c r="S246" i="1" s="1" a="1"/>
  <c r="S246" i="1" s="1"/>
  <c r="R247" i="1"/>
  <c r="S247" i="1" s="1" a="1"/>
  <c r="S247" i="1" s="1"/>
  <c r="R248" i="1"/>
  <c r="S248" i="1" s="1" a="1"/>
  <c r="S248" i="1" s="1"/>
  <c r="R249" i="1"/>
  <c r="S249" i="1" s="1" a="1"/>
  <c r="S249" i="1" s="1"/>
  <c r="R250" i="1"/>
  <c r="S250" i="1" s="1" a="1"/>
  <c r="S250" i="1" s="1"/>
  <c r="R251" i="1"/>
  <c r="S251" i="1" s="1" a="1"/>
  <c r="S251" i="1" s="1"/>
  <c r="R252" i="1"/>
  <c r="S252" i="1" s="1" a="1"/>
  <c r="S252" i="1" s="1"/>
  <c r="R253" i="1"/>
  <c r="S253" i="1" s="1" a="1"/>
  <c r="S253" i="1" s="1"/>
  <c r="R254" i="1"/>
  <c r="S254" i="1" s="1" a="1"/>
  <c r="S254" i="1" s="1"/>
  <c r="R255" i="1"/>
  <c r="S255" i="1" s="1" a="1"/>
  <c r="S255" i="1" s="1"/>
  <c r="R256" i="1"/>
  <c r="S256" i="1" s="1" a="1"/>
  <c r="S256" i="1" s="1"/>
  <c r="R257" i="1"/>
  <c r="S257" i="1" s="1" a="1"/>
  <c r="S257" i="1" s="1"/>
  <c r="R258" i="1"/>
  <c r="S258" i="1" s="1" a="1"/>
  <c r="S258" i="1" s="1"/>
  <c r="R259" i="1"/>
  <c r="S259" i="1" s="1" a="1"/>
  <c r="S259" i="1" s="1"/>
  <c r="R260" i="1"/>
  <c r="S260" i="1" s="1" a="1"/>
  <c r="S260" i="1" s="1"/>
  <c r="R261" i="1"/>
  <c r="S261" i="1" s="1" a="1"/>
  <c r="S261" i="1" s="1"/>
  <c r="R262" i="1"/>
  <c r="S262" i="1" s="1" a="1"/>
  <c r="S262" i="1" s="1"/>
  <c r="R263" i="1"/>
  <c r="S263" i="1" s="1" a="1"/>
  <c r="S263" i="1" s="1"/>
  <c r="R264" i="1"/>
  <c r="S264" i="1" s="1" a="1"/>
  <c r="S264" i="1" s="1"/>
  <c r="R265" i="1"/>
  <c r="S265" i="1" s="1" a="1"/>
  <c r="S265" i="1" s="1"/>
  <c r="R266" i="1"/>
  <c r="S266" i="1" s="1" a="1"/>
  <c r="S266" i="1" s="1"/>
  <c r="R267" i="1"/>
  <c r="S267" i="1" s="1" a="1"/>
  <c r="S267" i="1" s="1"/>
  <c r="R268" i="1"/>
  <c r="S268" i="1" s="1" a="1"/>
  <c r="S268" i="1" s="1"/>
  <c r="R269" i="1"/>
  <c r="S269" i="1" s="1" a="1"/>
  <c r="S269" i="1" s="1"/>
  <c r="R270" i="1"/>
  <c r="S270" i="1" s="1" a="1"/>
  <c r="S270" i="1" s="1"/>
  <c r="R271" i="1"/>
  <c r="S271" i="1" s="1" a="1"/>
  <c r="S271" i="1" s="1"/>
  <c r="R272" i="1"/>
  <c r="S272" i="1" s="1" a="1"/>
  <c r="S272" i="1" s="1"/>
  <c r="R273" i="1"/>
  <c r="S273" i="1" s="1" a="1"/>
  <c r="S273" i="1" s="1"/>
  <c r="R274" i="1"/>
  <c r="S274" i="1" s="1" a="1"/>
  <c r="S274" i="1" s="1"/>
  <c r="R275" i="1"/>
  <c r="S275" i="1" s="1" a="1"/>
  <c r="S275" i="1" s="1"/>
  <c r="R276" i="1"/>
  <c r="S276" i="1" s="1" a="1"/>
  <c r="S276" i="1" s="1"/>
  <c r="R277" i="1"/>
  <c r="S277" i="1" s="1" a="1"/>
  <c r="S277" i="1" s="1"/>
  <c r="R278" i="1"/>
  <c r="S278" i="1" s="1" a="1"/>
  <c r="S278" i="1" s="1"/>
  <c r="R279" i="1"/>
  <c r="S279" i="1" s="1" a="1"/>
  <c r="S279" i="1" s="1"/>
  <c r="R280" i="1"/>
  <c r="S280" i="1" s="1" a="1"/>
  <c r="S280" i="1" s="1"/>
  <c r="R281" i="1"/>
  <c r="S281" i="1" s="1" a="1"/>
  <c r="S281" i="1" s="1"/>
  <c r="R282" i="1"/>
  <c r="S282" i="1" s="1" a="1"/>
  <c r="S282" i="1" s="1"/>
  <c r="R283" i="1"/>
  <c r="S283" i="1" s="1" a="1"/>
  <c r="S283" i="1" s="1"/>
  <c r="R284" i="1"/>
  <c r="S284" i="1" s="1" a="1"/>
  <c r="S284" i="1" s="1"/>
  <c r="R285" i="1"/>
  <c r="S285" i="1" s="1" a="1"/>
  <c r="S285" i="1" s="1"/>
  <c r="R286" i="1"/>
  <c r="S286" i="1" s="1" a="1"/>
  <c r="S286" i="1" s="1"/>
  <c r="R287" i="1"/>
  <c r="S287" i="1" s="1" a="1"/>
  <c r="S287" i="1" s="1"/>
  <c r="R288" i="1"/>
  <c r="S288" i="1" s="1" a="1"/>
  <c r="S288" i="1" s="1"/>
  <c r="R289" i="1"/>
  <c r="S289" i="1" s="1" a="1"/>
  <c r="S289" i="1" s="1"/>
  <c r="R290" i="1"/>
  <c r="S290" i="1" s="1" a="1"/>
  <c r="S290" i="1" s="1"/>
  <c r="R291" i="1"/>
  <c r="S291" i="1" s="1" a="1"/>
  <c r="S291" i="1" s="1"/>
  <c r="R292" i="1"/>
  <c r="S292" i="1" s="1" a="1"/>
  <c r="S292" i="1" s="1"/>
  <c r="R293" i="1"/>
  <c r="S293" i="1" s="1" a="1"/>
  <c r="S293" i="1" s="1"/>
  <c r="R294" i="1"/>
  <c r="S294" i="1" s="1" a="1"/>
  <c r="S294" i="1" s="1"/>
  <c r="R295" i="1"/>
  <c r="S295" i="1" s="1" a="1"/>
  <c r="S295" i="1" s="1"/>
  <c r="R296" i="1"/>
  <c r="S296" i="1" s="1" a="1"/>
  <c r="S296" i="1" s="1"/>
  <c r="R297" i="1"/>
  <c r="S297" i="1" s="1" a="1"/>
  <c r="S297" i="1" s="1"/>
  <c r="R298" i="1"/>
  <c r="S298" i="1" s="1" a="1"/>
  <c r="S298" i="1" s="1"/>
  <c r="R299" i="1"/>
  <c r="S299" i="1" s="1" a="1"/>
  <c r="S299" i="1" s="1"/>
  <c r="R300" i="1"/>
  <c r="S300" i="1" s="1" a="1"/>
  <c r="S300" i="1" s="1"/>
  <c r="R301" i="1"/>
  <c r="S301" i="1" s="1" a="1"/>
  <c r="S301" i="1" s="1"/>
  <c r="R302" i="1"/>
  <c r="S302" i="1" s="1" a="1"/>
  <c r="S302" i="1" s="1"/>
  <c r="R303" i="1"/>
  <c r="S303" i="1" s="1" a="1"/>
  <c r="S303" i="1" s="1"/>
  <c r="R304" i="1"/>
  <c r="S304" i="1" s="1" a="1"/>
  <c r="S304" i="1" s="1"/>
  <c r="R305" i="1"/>
  <c r="S305" i="1" s="1" a="1"/>
  <c r="S305" i="1" s="1"/>
  <c r="R306" i="1"/>
  <c r="S306" i="1" s="1" a="1"/>
  <c r="S306" i="1" s="1"/>
  <c r="R307" i="1"/>
  <c r="S307" i="1" s="1" a="1"/>
  <c r="S307" i="1" s="1"/>
  <c r="R308" i="1"/>
  <c r="S308" i="1" s="1" a="1"/>
  <c r="S308" i="1" s="1"/>
  <c r="R309" i="1"/>
  <c r="S309" i="1" s="1" a="1"/>
  <c r="S309" i="1" s="1"/>
  <c r="R310" i="1"/>
  <c r="S310" i="1" s="1" a="1"/>
  <c r="S310" i="1" s="1"/>
  <c r="R311" i="1"/>
  <c r="S311" i="1" s="1" a="1"/>
  <c r="S311" i="1" s="1"/>
  <c r="R312" i="1"/>
  <c r="S312" i="1" s="1" a="1"/>
  <c r="S312" i="1" s="1"/>
  <c r="R313" i="1"/>
  <c r="S313" i="1" s="1" a="1"/>
  <c r="S313" i="1" s="1"/>
  <c r="R314" i="1"/>
  <c r="S314" i="1" s="1" a="1"/>
  <c r="S314" i="1" s="1"/>
  <c r="R315" i="1"/>
  <c r="S315" i="1" s="1" a="1"/>
  <c r="S315" i="1" s="1"/>
  <c r="R316" i="1"/>
  <c r="S316" i="1" s="1" a="1"/>
  <c r="S316" i="1" s="1"/>
  <c r="R317" i="1"/>
  <c r="S317" i="1" s="1" a="1"/>
  <c r="S317" i="1" s="1"/>
  <c r="R318" i="1"/>
  <c r="S318" i="1" s="1" a="1"/>
  <c r="S318" i="1" s="1"/>
  <c r="R319" i="1"/>
  <c r="S319" i="1" s="1" a="1"/>
  <c r="S319" i="1" s="1"/>
  <c r="R320" i="1"/>
  <c r="S320" i="1" s="1" a="1"/>
  <c r="S320" i="1" s="1"/>
  <c r="R321" i="1"/>
  <c r="S321" i="1" s="1" a="1"/>
  <c r="S321" i="1" s="1"/>
  <c r="R322" i="1"/>
  <c r="S322" i="1" s="1" a="1"/>
  <c r="S322" i="1" s="1"/>
  <c r="R323" i="1"/>
  <c r="S323" i="1" s="1" a="1"/>
  <c r="S323" i="1" s="1"/>
  <c r="R324" i="1"/>
  <c r="S324" i="1" s="1" a="1"/>
  <c r="S324" i="1" s="1"/>
  <c r="R325" i="1"/>
  <c r="S325" i="1" s="1" a="1"/>
  <c r="S325" i="1" s="1"/>
  <c r="R326" i="1"/>
  <c r="S326" i="1" s="1" a="1"/>
  <c r="S326" i="1" s="1"/>
  <c r="R327" i="1"/>
  <c r="S327" i="1" s="1" a="1"/>
  <c r="S327" i="1" s="1"/>
  <c r="R328" i="1"/>
  <c r="S328" i="1" s="1" a="1"/>
  <c r="S328" i="1" s="1"/>
  <c r="R329" i="1"/>
  <c r="S329" i="1" s="1" a="1"/>
  <c r="S329" i="1" s="1"/>
  <c r="R330" i="1"/>
  <c r="S330" i="1" s="1" a="1"/>
  <c r="S330" i="1" s="1"/>
  <c r="R331" i="1"/>
  <c r="S331" i="1" s="1" a="1"/>
  <c r="S331" i="1" s="1"/>
  <c r="R332" i="1"/>
  <c r="S332" i="1" s="1" a="1"/>
  <c r="S332" i="1" s="1"/>
  <c r="R333" i="1"/>
  <c r="S333" i="1" s="1" a="1"/>
  <c r="S333" i="1" s="1"/>
  <c r="R334" i="1"/>
  <c r="S334" i="1" s="1" a="1"/>
  <c r="S334" i="1" s="1"/>
  <c r="R335" i="1"/>
  <c r="S335" i="1" s="1" a="1"/>
  <c r="S335" i="1" s="1"/>
  <c r="R336" i="1"/>
  <c r="S336" i="1" s="1" a="1"/>
  <c r="S336" i="1" s="1"/>
  <c r="R337" i="1"/>
  <c r="S337" i="1" s="1" a="1"/>
  <c r="S337" i="1" s="1"/>
  <c r="R338" i="1"/>
  <c r="S338" i="1" s="1" a="1"/>
  <c r="S338" i="1" s="1"/>
  <c r="R339" i="1"/>
  <c r="S339" i="1" s="1" a="1"/>
  <c r="S339" i="1" s="1"/>
  <c r="R340" i="1"/>
  <c r="S340" i="1" s="1" a="1"/>
  <c r="S340" i="1" s="1"/>
  <c r="R341" i="1"/>
  <c r="S341" i="1" s="1" a="1"/>
  <c r="S341" i="1" s="1"/>
  <c r="R342" i="1"/>
  <c r="S342" i="1" s="1" a="1"/>
  <c r="S342" i="1" s="1"/>
  <c r="R343" i="1"/>
  <c r="S343" i="1" s="1" a="1"/>
  <c r="S343" i="1" s="1"/>
  <c r="R344" i="1"/>
  <c r="S344" i="1" s="1" a="1"/>
  <c r="S344" i="1" s="1"/>
  <c r="R345" i="1"/>
  <c r="S345" i="1" s="1" a="1"/>
  <c r="S345" i="1" s="1"/>
  <c r="R346" i="1"/>
  <c r="S346" i="1" s="1" a="1"/>
  <c r="S346" i="1" s="1"/>
  <c r="R347" i="1"/>
  <c r="S347" i="1" s="1" a="1"/>
  <c r="S347" i="1" s="1"/>
  <c r="R348" i="1"/>
  <c r="S348" i="1" s="1" a="1"/>
  <c r="S348" i="1" s="1"/>
  <c r="R349" i="1"/>
  <c r="S349" i="1" s="1" a="1"/>
  <c r="S349" i="1" s="1"/>
  <c r="R350" i="1"/>
  <c r="S350" i="1" s="1" a="1"/>
  <c r="S350" i="1" s="1"/>
  <c r="R351" i="1"/>
  <c r="S351" i="1" s="1" a="1"/>
  <c r="S351" i="1" s="1"/>
  <c r="R352" i="1"/>
  <c r="S352" i="1" s="1" a="1"/>
  <c r="S352" i="1" s="1"/>
  <c r="R353" i="1"/>
  <c r="S353" i="1" s="1" a="1"/>
  <c r="S353" i="1" s="1"/>
  <c r="R354" i="1"/>
  <c r="S354" i="1" s="1" a="1"/>
  <c r="S354" i="1" s="1"/>
  <c r="R355" i="1"/>
  <c r="S355" i="1" s="1" a="1"/>
  <c r="S355" i="1" s="1"/>
  <c r="R356" i="1"/>
  <c r="S356" i="1" s="1" a="1"/>
  <c r="S356" i="1" s="1"/>
  <c r="R357" i="1"/>
  <c r="S357" i="1" s="1" a="1"/>
  <c r="S357" i="1" s="1"/>
  <c r="R358" i="1"/>
  <c r="S358" i="1" s="1" a="1"/>
  <c r="S358" i="1" s="1"/>
  <c r="R359" i="1"/>
  <c r="S359" i="1" s="1" a="1"/>
  <c r="S359" i="1" s="1"/>
  <c r="R360" i="1"/>
  <c r="S360" i="1" s="1" a="1"/>
  <c r="S360" i="1" s="1"/>
  <c r="R361" i="1"/>
  <c r="S361" i="1" s="1" a="1"/>
  <c r="S361" i="1" s="1"/>
  <c r="R362" i="1"/>
  <c r="S362" i="1" s="1" a="1"/>
  <c r="S362" i="1" s="1"/>
  <c r="R363" i="1"/>
  <c r="S363" i="1" s="1" a="1"/>
  <c r="S363" i="1" s="1"/>
  <c r="R364" i="1"/>
  <c r="S364" i="1" s="1" a="1"/>
  <c r="S364" i="1" s="1"/>
  <c r="R365" i="1"/>
  <c r="S365" i="1" s="1" a="1"/>
  <c r="S365" i="1" s="1"/>
  <c r="R366" i="1"/>
  <c r="S366" i="1" s="1" a="1"/>
  <c r="S366" i="1" s="1"/>
  <c r="R367" i="1"/>
  <c r="S367" i="1" s="1" a="1"/>
  <c r="S367" i="1" s="1"/>
  <c r="R368" i="1"/>
  <c r="S368" i="1" s="1" a="1"/>
  <c r="S368" i="1" s="1"/>
  <c r="R369" i="1"/>
  <c r="S369" i="1" s="1" a="1"/>
  <c r="S369" i="1" s="1"/>
  <c r="R370" i="1"/>
  <c r="S370" i="1" s="1" a="1"/>
  <c r="S370" i="1" s="1"/>
  <c r="R371" i="1"/>
  <c r="S371" i="1" s="1" a="1"/>
  <c r="S371" i="1" s="1"/>
  <c r="R372" i="1"/>
  <c r="S372" i="1" s="1" a="1"/>
  <c r="S372" i="1" s="1"/>
  <c r="R373" i="1"/>
  <c r="S373" i="1" s="1" a="1"/>
  <c r="S373" i="1" s="1"/>
  <c r="R374" i="1"/>
  <c r="S374" i="1" s="1" a="1"/>
  <c r="S374" i="1" s="1"/>
  <c r="R375" i="1"/>
  <c r="S375" i="1" s="1" a="1"/>
  <c r="S375" i="1" s="1"/>
  <c r="R376" i="1"/>
  <c r="S376" i="1" s="1" a="1"/>
  <c r="S376" i="1" s="1"/>
  <c r="R377" i="1"/>
  <c r="S377" i="1" s="1" a="1"/>
  <c r="S377" i="1" s="1"/>
  <c r="R378" i="1"/>
  <c r="S378" i="1" s="1" a="1"/>
  <c r="S378" i="1" s="1"/>
  <c r="R379" i="1"/>
  <c r="S379" i="1" s="1" a="1"/>
  <c r="S379" i="1" s="1"/>
  <c r="R380" i="1"/>
  <c r="S380" i="1" s="1" a="1"/>
  <c r="S380" i="1" s="1"/>
  <c r="R381" i="1"/>
  <c r="S381" i="1" s="1" a="1"/>
  <c r="S381" i="1" s="1"/>
  <c r="R382" i="1"/>
  <c r="S382" i="1" s="1" a="1"/>
  <c r="S382" i="1" s="1"/>
  <c r="R383" i="1"/>
  <c r="S383" i="1" s="1" a="1"/>
  <c r="S383" i="1" s="1"/>
  <c r="R384" i="1"/>
  <c r="S384" i="1" s="1" a="1"/>
  <c r="S384" i="1" s="1"/>
  <c r="R385" i="1"/>
  <c r="S385" i="1" s="1" a="1"/>
  <c r="S385" i="1" s="1"/>
  <c r="R386" i="1"/>
  <c r="S386" i="1" s="1" a="1"/>
  <c r="S386" i="1" s="1"/>
  <c r="R387" i="1"/>
  <c r="S387" i="1" s="1" a="1"/>
  <c r="S387" i="1" s="1"/>
  <c r="R388" i="1"/>
  <c r="S388" i="1" s="1" a="1"/>
  <c r="S388" i="1" s="1"/>
  <c r="R389" i="1"/>
  <c r="S389" i="1" s="1" a="1"/>
  <c r="S389" i="1" s="1"/>
  <c r="R390" i="1"/>
  <c r="S390" i="1" s="1" a="1"/>
  <c r="S390" i="1" s="1"/>
  <c r="R391" i="1"/>
  <c r="S391" i="1" s="1" a="1"/>
  <c r="S391" i="1" s="1"/>
  <c r="R392" i="1"/>
  <c r="S392" i="1" s="1" a="1"/>
  <c r="S392" i="1" s="1"/>
  <c r="R393" i="1"/>
  <c r="S393" i="1" s="1" a="1"/>
  <c r="S393" i="1" s="1"/>
  <c r="R394" i="1"/>
  <c r="S394" i="1" s="1" a="1"/>
  <c r="S394" i="1" s="1"/>
  <c r="R395" i="1"/>
  <c r="S395" i="1" s="1" a="1"/>
  <c r="S395" i="1" s="1"/>
  <c r="R396" i="1"/>
  <c r="S396" i="1" s="1" a="1"/>
  <c r="S396" i="1" s="1"/>
  <c r="R397" i="1"/>
  <c r="S397" i="1" s="1" a="1"/>
  <c r="S397" i="1" s="1"/>
  <c r="R398" i="1"/>
  <c r="S398" i="1" s="1" a="1"/>
  <c r="S398" i="1" s="1"/>
  <c r="R399" i="1"/>
  <c r="S399" i="1" s="1" a="1"/>
  <c r="S399" i="1" s="1"/>
  <c r="R400" i="1"/>
  <c r="S400" i="1" s="1" a="1"/>
  <c r="S400" i="1" s="1"/>
  <c r="R401" i="1"/>
  <c r="S401" i="1" s="1" a="1"/>
  <c r="S401" i="1" s="1"/>
  <c r="R402" i="1"/>
  <c r="S402" i="1" s="1" a="1"/>
  <c r="S402" i="1" s="1"/>
  <c r="R403" i="1"/>
  <c r="S403" i="1" s="1" a="1"/>
  <c r="S403" i="1" s="1"/>
  <c r="R404" i="1"/>
  <c r="S404" i="1" s="1" a="1"/>
  <c r="S404" i="1" s="1"/>
  <c r="R405" i="1"/>
  <c r="S405" i="1" s="1" a="1"/>
  <c r="S405" i="1" s="1"/>
  <c r="R406" i="1"/>
  <c r="S406" i="1" s="1" a="1"/>
  <c r="S406" i="1" s="1"/>
  <c r="R407" i="1"/>
  <c r="S407" i="1" s="1" a="1"/>
  <c r="S407" i="1" s="1"/>
  <c r="R408" i="1"/>
  <c r="S408" i="1" s="1" a="1"/>
  <c r="S408" i="1" s="1"/>
  <c r="R409" i="1"/>
  <c r="S409" i="1" s="1" a="1"/>
  <c r="S409" i="1" s="1"/>
  <c r="R410" i="1"/>
  <c r="S410" i="1" s="1" a="1"/>
  <c r="S410" i="1" s="1"/>
  <c r="R411" i="1"/>
  <c r="S411" i="1" s="1" a="1"/>
  <c r="S411" i="1" s="1"/>
  <c r="R412" i="1"/>
  <c r="S412" i="1" s="1" a="1"/>
  <c r="S412" i="1" s="1"/>
  <c r="R413" i="1"/>
  <c r="S413" i="1" s="1" a="1"/>
  <c r="S413" i="1" s="1"/>
  <c r="R414" i="1"/>
  <c r="S414" i="1" s="1" a="1"/>
  <c r="S414" i="1" s="1"/>
  <c r="R415" i="1"/>
  <c r="S415" i="1" s="1" a="1"/>
  <c r="S415" i="1" s="1"/>
  <c r="R416" i="1"/>
  <c r="S416" i="1" s="1" a="1"/>
  <c r="S416" i="1" s="1"/>
  <c r="R417" i="1"/>
  <c r="S417" i="1" s="1" a="1"/>
  <c r="S417" i="1" s="1"/>
  <c r="R418" i="1"/>
  <c r="S418" i="1" s="1" a="1"/>
  <c r="S418" i="1" s="1"/>
  <c r="R419" i="1"/>
  <c r="S419" i="1" s="1" a="1"/>
  <c r="S419" i="1" s="1"/>
  <c r="R420" i="1"/>
  <c r="S420" i="1" s="1" a="1"/>
  <c r="S420" i="1" s="1"/>
  <c r="R421" i="1"/>
  <c r="S421" i="1" s="1" a="1"/>
  <c r="S421" i="1" s="1"/>
  <c r="R422" i="1"/>
  <c r="S422" i="1" s="1" a="1"/>
  <c r="S422" i="1" s="1"/>
  <c r="R423" i="1"/>
  <c r="S423" i="1" s="1" a="1"/>
  <c r="S423" i="1" s="1"/>
  <c r="R424" i="1"/>
  <c r="S424" i="1" s="1" a="1"/>
  <c r="S424" i="1" s="1"/>
  <c r="R425" i="1"/>
  <c r="S425" i="1" s="1" a="1"/>
  <c r="S425" i="1" s="1"/>
  <c r="R426" i="1"/>
  <c r="S426" i="1" s="1" a="1"/>
  <c r="S426" i="1" s="1"/>
  <c r="R427" i="1"/>
  <c r="S427" i="1" s="1" a="1"/>
  <c r="S427" i="1" s="1"/>
  <c r="R428" i="1"/>
  <c r="S428" i="1" s="1" a="1"/>
  <c r="S428" i="1" s="1"/>
  <c r="R429" i="1"/>
  <c r="S429" i="1" s="1" a="1"/>
  <c r="S429" i="1" s="1"/>
  <c r="R430" i="1"/>
  <c r="S430" i="1" s="1" a="1"/>
  <c r="S430" i="1" s="1"/>
  <c r="R431" i="1"/>
  <c r="S431" i="1" s="1" a="1"/>
  <c r="S431" i="1" s="1"/>
  <c r="R432" i="1"/>
  <c r="S432" i="1" s="1" a="1"/>
  <c r="S432" i="1" s="1"/>
  <c r="R433" i="1"/>
  <c r="S433" i="1" s="1" a="1"/>
  <c r="S433" i="1" s="1"/>
  <c r="R434" i="1"/>
  <c r="S434" i="1" s="1" a="1"/>
  <c r="S434" i="1" s="1"/>
  <c r="R435" i="1"/>
  <c r="S435" i="1" s="1" a="1"/>
  <c r="S435" i="1" s="1"/>
  <c r="R436" i="1"/>
  <c r="S436" i="1" s="1" a="1"/>
  <c r="S436" i="1" s="1"/>
  <c r="R437" i="1"/>
  <c r="S437" i="1" s="1" a="1"/>
  <c r="S437" i="1" s="1"/>
  <c r="R438" i="1"/>
  <c r="S438" i="1" s="1" a="1"/>
  <c r="S438" i="1" s="1"/>
  <c r="R439" i="1"/>
  <c r="S439" i="1" s="1" a="1"/>
  <c r="S439" i="1" s="1"/>
  <c r="R440" i="1"/>
  <c r="S440" i="1" s="1" a="1"/>
  <c r="S440" i="1" s="1"/>
  <c r="R441" i="1"/>
  <c r="S441" i="1" s="1" a="1"/>
  <c r="S441" i="1" s="1"/>
  <c r="R442" i="1"/>
  <c r="S442" i="1" s="1" a="1"/>
  <c r="S442" i="1" s="1"/>
  <c r="R443" i="1"/>
  <c r="S443" i="1" s="1" a="1"/>
  <c r="S443" i="1" s="1"/>
  <c r="R444" i="1"/>
  <c r="S444" i="1" s="1" a="1"/>
  <c r="S444" i="1" s="1"/>
  <c r="R445" i="1"/>
  <c r="S445" i="1" s="1" a="1"/>
  <c r="S445" i="1" s="1"/>
  <c r="R446" i="1"/>
  <c r="S446" i="1" s="1" a="1"/>
  <c r="S446" i="1" s="1"/>
  <c r="R447" i="1"/>
  <c r="S447" i="1" s="1" a="1"/>
  <c r="S447" i="1" s="1"/>
  <c r="R448" i="1"/>
  <c r="S448" i="1" s="1" a="1"/>
  <c r="S448" i="1" s="1"/>
  <c r="R449" i="1"/>
  <c r="S449" i="1" s="1" a="1"/>
  <c r="S449" i="1" s="1"/>
  <c r="R450" i="1"/>
  <c r="S450" i="1" s="1" a="1"/>
  <c r="S450" i="1" s="1"/>
  <c r="R451" i="1"/>
  <c r="S451" i="1" s="1" a="1"/>
  <c r="S451" i="1" s="1"/>
  <c r="R452" i="1"/>
  <c r="S452" i="1" s="1" a="1"/>
  <c r="S452" i="1" s="1"/>
  <c r="R453" i="1"/>
  <c r="S453" i="1" s="1" a="1"/>
  <c r="S453" i="1" s="1"/>
  <c r="R454" i="1"/>
  <c r="S454" i="1" s="1" a="1"/>
  <c r="S454" i="1" s="1"/>
  <c r="R455" i="1"/>
  <c r="S455" i="1" s="1" a="1"/>
  <c r="S455" i="1" s="1"/>
  <c r="R456" i="1"/>
  <c r="S456" i="1" s="1" a="1"/>
  <c r="S456" i="1" s="1"/>
  <c r="R457" i="1"/>
  <c r="S457" i="1" s="1" a="1"/>
  <c r="S457" i="1" s="1"/>
  <c r="R458" i="1"/>
  <c r="S458" i="1" s="1" a="1"/>
  <c r="S458" i="1" s="1"/>
  <c r="R459" i="1"/>
  <c r="S459" i="1" s="1" a="1"/>
  <c r="S459" i="1" s="1"/>
  <c r="R460" i="1"/>
  <c r="S460" i="1" s="1" a="1"/>
  <c r="S460" i="1" s="1"/>
  <c r="R461" i="1"/>
  <c r="S461" i="1" s="1" a="1"/>
  <c r="S461" i="1" s="1"/>
  <c r="R462" i="1"/>
  <c r="S462" i="1" s="1" a="1"/>
  <c r="S462" i="1" s="1"/>
  <c r="R463" i="1"/>
  <c r="S463" i="1" s="1" a="1"/>
  <c r="S463" i="1" s="1"/>
  <c r="R464" i="1"/>
  <c r="S464" i="1" s="1" a="1"/>
  <c r="S464" i="1" s="1"/>
  <c r="R465" i="1"/>
  <c r="S465" i="1" s="1" a="1"/>
  <c r="S465" i="1" s="1"/>
  <c r="R466" i="1"/>
  <c r="S466" i="1" s="1" a="1"/>
  <c r="S466" i="1" s="1"/>
  <c r="R467" i="1"/>
  <c r="S467" i="1" s="1" a="1"/>
  <c r="S467" i="1" s="1"/>
  <c r="R468" i="1"/>
  <c r="S468" i="1" s="1" a="1"/>
  <c r="S468" i="1" s="1"/>
  <c r="R469" i="1"/>
  <c r="S469" i="1" s="1" a="1"/>
  <c r="S469" i="1" s="1"/>
  <c r="R470" i="1"/>
  <c r="S470" i="1" s="1" a="1"/>
  <c r="S470" i="1" s="1"/>
  <c r="R471" i="1"/>
  <c r="S471" i="1" s="1" a="1"/>
  <c r="S471" i="1" s="1"/>
  <c r="R472" i="1"/>
  <c r="S472" i="1" s="1" a="1"/>
  <c r="S472" i="1" s="1"/>
  <c r="R473" i="1"/>
  <c r="S473" i="1" s="1" a="1"/>
  <c r="S473" i="1" s="1"/>
  <c r="R474" i="1"/>
  <c r="S474" i="1" s="1" a="1"/>
  <c r="S474" i="1" s="1"/>
  <c r="R475" i="1"/>
  <c r="S475" i="1" s="1" a="1"/>
  <c r="S475" i="1" s="1"/>
  <c r="R476" i="1"/>
  <c r="S476" i="1" s="1" a="1"/>
  <c r="S476" i="1" s="1"/>
  <c r="R477" i="1"/>
  <c r="S477" i="1" s="1" a="1"/>
  <c r="S477" i="1" s="1"/>
  <c r="R478" i="1"/>
  <c r="S478" i="1" s="1" a="1"/>
  <c r="S478" i="1" s="1"/>
  <c r="R479" i="1"/>
  <c r="S479" i="1" s="1" a="1"/>
  <c r="S479" i="1" s="1"/>
  <c r="R480" i="1"/>
  <c r="S480" i="1" s="1" a="1"/>
  <c r="S480" i="1" s="1"/>
  <c r="R481" i="1"/>
  <c r="S481" i="1" s="1" a="1"/>
  <c r="S481" i="1" s="1"/>
  <c r="R482" i="1"/>
  <c r="S482" i="1" s="1" a="1"/>
  <c r="S482" i="1" s="1"/>
  <c r="R483" i="1"/>
  <c r="S483" i="1" s="1" a="1"/>
  <c r="S483" i="1" s="1"/>
  <c r="R484" i="1"/>
  <c r="S484" i="1" s="1" a="1"/>
  <c r="S484" i="1" s="1"/>
  <c r="R485" i="1"/>
  <c r="S485" i="1" s="1" a="1"/>
  <c r="S485" i="1" s="1"/>
  <c r="R486" i="1"/>
  <c r="S486" i="1" s="1" a="1"/>
  <c r="S486" i="1" s="1"/>
  <c r="R487" i="1"/>
  <c r="S487" i="1" s="1" a="1"/>
  <c r="S487" i="1" s="1"/>
  <c r="R488" i="1"/>
  <c r="S488" i="1" s="1" a="1"/>
  <c r="S488" i="1" s="1"/>
  <c r="R489" i="1"/>
  <c r="S489" i="1" s="1" a="1"/>
  <c r="S489" i="1" s="1"/>
  <c r="R490" i="1"/>
  <c r="S490" i="1" s="1" a="1"/>
  <c r="S490" i="1" s="1"/>
  <c r="R491" i="1"/>
  <c r="S491" i="1" s="1" a="1"/>
  <c r="S491" i="1" s="1"/>
  <c r="R492" i="1"/>
  <c r="S492" i="1" s="1" a="1"/>
  <c r="S492" i="1" s="1"/>
  <c r="R493" i="1"/>
  <c r="S493" i="1" s="1" a="1"/>
  <c r="S493" i="1" s="1"/>
  <c r="R494" i="1"/>
  <c r="S494" i="1" s="1" a="1"/>
  <c r="S494" i="1" s="1"/>
  <c r="R495" i="1"/>
  <c r="S495" i="1" s="1" a="1"/>
  <c r="S495" i="1" s="1"/>
  <c r="R496" i="1"/>
  <c r="S496" i="1" s="1" a="1"/>
  <c r="S496" i="1" s="1"/>
  <c r="R497" i="1"/>
  <c r="S497" i="1" s="1" a="1"/>
  <c r="S497" i="1" s="1"/>
  <c r="R498" i="1"/>
  <c r="S498" i="1" s="1" a="1"/>
  <c r="S498" i="1" s="1"/>
  <c r="R499" i="1"/>
  <c r="S499" i="1" s="1" a="1"/>
  <c r="S499" i="1" s="1"/>
  <c r="R500" i="1"/>
  <c r="S500" i="1" s="1" a="1"/>
  <c r="S500" i="1" s="1"/>
  <c r="R501" i="1"/>
  <c r="S501" i="1" s="1" a="1"/>
  <c r="S501" i="1" s="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O2" i="1" a="1"/>
  <c r="O2" i="1" s="1"/>
  <c r="O3" i="1" a="1"/>
  <c r="O3" i="1" s="1"/>
  <c r="O4" i="1" a="1"/>
  <c r="O4" i="1" s="1"/>
  <c r="O5" i="1" a="1"/>
  <c r="O5" i="1" s="1"/>
  <c r="O6" i="1" a="1"/>
  <c r="O6" i="1" s="1"/>
  <c r="O7" i="1" a="1"/>
  <c r="O7" i="1" s="1"/>
  <c r="O8" i="1" a="1"/>
  <c r="O8" i="1" s="1"/>
  <c r="O9" i="1" a="1"/>
  <c r="O9" i="1" s="1"/>
  <c r="O10" i="1" a="1"/>
  <c r="O10" i="1" s="1"/>
  <c r="O11" i="1" a="1"/>
  <c r="O11" i="1" s="1"/>
  <c r="O12" i="1" a="1"/>
  <c r="O12" i="1" s="1"/>
  <c r="O13" i="1" a="1"/>
  <c r="O13" i="1" s="1"/>
  <c r="O14" i="1" a="1"/>
  <c r="O14" i="1" s="1"/>
  <c r="O15" i="1" a="1"/>
  <c r="O15" i="1" s="1"/>
  <c r="O16" i="1" a="1"/>
  <c r="O16" i="1" s="1"/>
  <c r="O17" i="1" a="1"/>
  <c r="O17" i="1" s="1"/>
  <c r="O18" i="1" a="1"/>
  <c r="O18" i="1" s="1"/>
  <c r="O19" i="1" a="1"/>
  <c r="O19" i="1" s="1"/>
  <c r="O20" i="1" a="1"/>
  <c r="O20" i="1" s="1"/>
  <c r="O21" i="1" a="1"/>
  <c r="O21" i="1" s="1"/>
  <c r="O22" i="1" a="1"/>
  <c r="O22" i="1" s="1"/>
  <c r="O23" i="1" a="1"/>
  <c r="O23" i="1" s="1"/>
  <c r="O24" i="1" a="1"/>
  <c r="O24" i="1" s="1"/>
  <c r="O25" i="1" a="1"/>
  <c r="O25" i="1" s="1"/>
  <c r="O26" i="1" a="1"/>
  <c r="O26" i="1" s="1"/>
  <c r="O27" i="1" a="1"/>
  <c r="O27" i="1" s="1"/>
  <c r="O28" i="1" a="1"/>
  <c r="O28" i="1" s="1"/>
  <c r="O29" i="1" a="1"/>
  <c r="O29" i="1" s="1"/>
  <c r="O30" i="1" a="1"/>
  <c r="O30" i="1" s="1"/>
  <c r="O31" i="1" a="1"/>
  <c r="O31" i="1" s="1"/>
  <c r="O32" i="1" a="1"/>
  <c r="O32" i="1" s="1"/>
  <c r="O33" i="1" a="1"/>
  <c r="O33" i="1" s="1"/>
  <c r="O34" i="1" a="1"/>
  <c r="O34" i="1" s="1"/>
  <c r="O35" i="1" a="1"/>
  <c r="O35" i="1" s="1"/>
  <c r="O36" i="1" a="1"/>
  <c r="O36" i="1" s="1"/>
  <c r="O37" i="1" a="1"/>
  <c r="O37" i="1" s="1"/>
  <c r="O38" i="1" a="1"/>
  <c r="O38" i="1" s="1"/>
  <c r="O39" i="1" a="1"/>
  <c r="O39" i="1" s="1"/>
  <c r="O40" i="1" a="1"/>
  <c r="O40" i="1" s="1"/>
  <c r="O41" i="1" a="1"/>
  <c r="O41" i="1" s="1"/>
  <c r="O42" i="1" a="1"/>
  <c r="O42" i="1" s="1"/>
  <c r="O43" i="1" a="1"/>
  <c r="O43" i="1" s="1"/>
  <c r="O44" i="1" a="1"/>
  <c r="O44" i="1" s="1"/>
  <c r="O45" i="1" a="1"/>
  <c r="O45" i="1" s="1"/>
  <c r="O46" i="1" a="1"/>
  <c r="O46" i="1" s="1"/>
  <c r="O47" i="1" a="1"/>
  <c r="O47" i="1" s="1"/>
  <c r="O48" i="1" a="1"/>
  <c r="O48" i="1" s="1"/>
  <c r="O49" i="1" a="1"/>
  <c r="O49" i="1" s="1"/>
  <c r="O50" i="1" a="1"/>
  <c r="O50" i="1" s="1"/>
  <c r="O51" i="1" a="1"/>
  <c r="O51" i="1" s="1"/>
  <c r="O52" i="1" a="1"/>
  <c r="O52" i="1" s="1"/>
  <c r="O53" i="1" a="1"/>
  <c r="O53" i="1" s="1"/>
  <c r="O54" i="1" a="1"/>
  <c r="O54" i="1" s="1"/>
  <c r="O55" i="1" a="1"/>
  <c r="O55" i="1" s="1"/>
  <c r="O56" i="1" a="1"/>
  <c r="O56" i="1" s="1"/>
  <c r="O57" i="1" a="1"/>
  <c r="O57" i="1" s="1"/>
  <c r="O58" i="1" a="1"/>
  <c r="O58" i="1" s="1"/>
  <c r="O59" i="1" a="1"/>
  <c r="O59" i="1" s="1"/>
  <c r="O60" i="1" a="1"/>
  <c r="O60" i="1" s="1"/>
  <c r="O61" i="1" a="1"/>
  <c r="O61" i="1" s="1"/>
  <c r="O62" i="1" a="1"/>
  <c r="O62" i="1" s="1"/>
  <c r="O63" i="1" a="1"/>
  <c r="O63" i="1" s="1"/>
  <c r="O64" i="1" a="1"/>
  <c r="O64" i="1" s="1"/>
  <c r="O65" i="1" a="1"/>
  <c r="O65" i="1" s="1"/>
  <c r="O66" i="1" a="1"/>
  <c r="O66" i="1" s="1"/>
  <c r="O67" i="1" a="1"/>
  <c r="O67" i="1" s="1"/>
  <c r="O68" i="1" a="1"/>
  <c r="O68" i="1" s="1"/>
  <c r="O69" i="1" a="1"/>
  <c r="O69" i="1" s="1"/>
  <c r="O70" i="1" a="1"/>
  <c r="O70" i="1" s="1"/>
  <c r="O71" i="1" a="1"/>
  <c r="O71" i="1" s="1"/>
  <c r="O72" i="1" a="1"/>
  <c r="O72" i="1" s="1"/>
  <c r="O73" i="1" a="1"/>
  <c r="O73" i="1" s="1"/>
  <c r="O74" i="1" a="1"/>
  <c r="O74" i="1" s="1"/>
  <c r="O75" i="1" a="1"/>
  <c r="O75" i="1" s="1"/>
  <c r="O76" i="1" a="1"/>
  <c r="O76" i="1" s="1"/>
  <c r="O77" i="1" a="1"/>
  <c r="O77" i="1" s="1"/>
  <c r="O78" i="1" a="1"/>
  <c r="O78" i="1" s="1"/>
  <c r="O79" i="1" a="1"/>
  <c r="O79" i="1" s="1"/>
  <c r="O80" i="1" a="1"/>
  <c r="O80" i="1" s="1"/>
  <c r="O81" i="1" a="1"/>
  <c r="O81" i="1" s="1"/>
  <c r="O82" i="1" a="1"/>
  <c r="O82" i="1" s="1"/>
  <c r="O83" i="1" a="1"/>
  <c r="O83" i="1" s="1"/>
  <c r="O84" i="1" a="1"/>
  <c r="O84" i="1" s="1"/>
  <c r="O85" i="1" a="1"/>
  <c r="O85" i="1" s="1"/>
  <c r="O86" i="1" a="1"/>
  <c r="O86" i="1" s="1"/>
  <c r="O87" i="1" a="1"/>
  <c r="O87" i="1" s="1"/>
  <c r="O88" i="1" a="1"/>
  <c r="O88" i="1" s="1"/>
  <c r="O89" i="1" a="1"/>
  <c r="O89" i="1" s="1"/>
  <c r="O90" i="1" a="1"/>
  <c r="O90" i="1" s="1"/>
  <c r="O91" i="1" a="1"/>
  <c r="O91" i="1" s="1"/>
  <c r="O92" i="1" a="1"/>
  <c r="O92" i="1" s="1"/>
  <c r="O93" i="1" a="1"/>
  <c r="O93" i="1" s="1"/>
  <c r="O94" i="1" a="1"/>
  <c r="O94" i="1" s="1"/>
  <c r="O95" i="1" a="1"/>
  <c r="O95" i="1" s="1"/>
  <c r="O96" i="1" a="1"/>
  <c r="O96" i="1" s="1"/>
  <c r="O97" i="1" a="1"/>
  <c r="O97" i="1" s="1"/>
  <c r="O98" i="1" a="1"/>
  <c r="O98" i="1" s="1"/>
  <c r="O99" i="1" a="1"/>
  <c r="O99" i="1" s="1"/>
  <c r="O100" i="1" a="1"/>
  <c r="O100" i="1" s="1"/>
  <c r="O101" i="1" a="1"/>
  <c r="O101" i="1" s="1"/>
  <c r="O102" i="1" a="1"/>
  <c r="O102" i="1" s="1"/>
  <c r="O103" i="1" a="1"/>
  <c r="O103" i="1" s="1"/>
  <c r="O104" i="1" a="1"/>
  <c r="O104" i="1" s="1"/>
  <c r="O105" i="1" a="1"/>
  <c r="O105" i="1" s="1"/>
  <c r="O106" i="1" a="1"/>
  <c r="O106" i="1" s="1"/>
  <c r="O107" i="1" a="1"/>
  <c r="O107" i="1" s="1"/>
  <c r="O108" i="1" a="1"/>
  <c r="O108" i="1" s="1"/>
  <c r="O109" i="1" a="1"/>
  <c r="O109" i="1" s="1"/>
  <c r="O110" i="1" a="1"/>
  <c r="O110" i="1" s="1"/>
  <c r="O111" i="1" a="1"/>
  <c r="O111" i="1" s="1"/>
  <c r="O112" i="1" a="1"/>
  <c r="O112" i="1" s="1"/>
  <c r="O113" i="1" a="1"/>
  <c r="O113" i="1" s="1"/>
  <c r="O114" i="1" a="1"/>
  <c r="O114" i="1" s="1"/>
  <c r="O115" i="1" a="1"/>
  <c r="O115" i="1" s="1"/>
  <c r="O116" i="1" a="1"/>
  <c r="O116" i="1" s="1"/>
  <c r="O117" i="1" a="1"/>
  <c r="O117" i="1" s="1"/>
  <c r="O118" i="1" a="1"/>
  <c r="O118" i="1" s="1"/>
  <c r="O119" i="1" a="1"/>
  <c r="O119" i="1" s="1"/>
  <c r="O120" i="1" a="1"/>
  <c r="O120" i="1" s="1"/>
  <c r="O121" i="1" a="1"/>
  <c r="O121" i="1" s="1"/>
  <c r="O122" i="1" a="1"/>
  <c r="O122" i="1" s="1"/>
  <c r="O123" i="1" a="1"/>
  <c r="O123" i="1" s="1"/>
  <c r="O124" i="1" a="1"/>
  <c r="O124" i="1" s="1"/>
  <c r="O125" i="1" a="1"/>
  <c r="O125" i="1" s="1"/>
  <c r="O126" i="1" a="1"/>
  <c r="O126" i="1" s="1"/>
  <c r="O127" i="1" a="1"/>
  <c r="O127" i="1" s="1"/>
  <c r="O128" i="1" a="1"/>
  <c r="O128" i="1" s="1"/>
  <c r="O129" i="1" a="1"/>
  <c r="O129" i="1" s="1"/>
  <c r="O130" i="1" a="1"/>
  <c r="O130" i="1" s="1"/>
  <c r="O131" i="1" a="1"/>
  <c r="O131" i="1" s="1"/>
  <c r="O132" i="1" a="1"/>
  <c r="O132" i="1" s="1"/>
  <c r="O133" i="1" a="1"/>
  <c r="O133" i="1" s="1"/>
  <c r="O134" i="1" a="1"/>
  <c r="O134" i="1" s="1"/>
  <c r="O135" i="1" a="1"/>
  <c r="O135" i="1" s="1"/>
  <c r="O136" i="1" a="1"/>
  <c r="O136" i="1" s="1"/>
  <c r="O137" i="1" a="1"/>
  <c r="O137" i="1" s="1"/>
  <c r="O138" i="1" a="1"/>
  <c r="O138" i="1" s="1"/>
  <c r="O139" i="1" a="1"/>
  <c r="O139" i="1" s="1"/>
  <c r="O140" i="1" a="1"/>
  <c r="O140" i="1" s="1"/>
  <c r="O141" i="1" a="1"/>
  <c r="O141" i="1" s="1"/>
  <c r="O142" i="1" a="1"/>
  <c r="O142" i="1" s="1"/>
  <c r="O143" i="1" a="1"/>
  <c r="O143" i="1" s="1"/>
  <c r="O144" i="1" a="1"/>
  <c r="O144" i="1" s="1"/>
  <c r="O145" i="1" a="1"/>
  <c r="O145" i="1" s="1"/>
  <c r="O146" i="1" a="1"/>
  <c r="O146" i="1" s="1"/>
  <c r="O147" i="1" a="1"/>
  <c r="O147" i="1" s="1"/>
  <c r="O148" i="1" a="1"/>
  <c r="O148" i="1" s="1"/>
  <c r="O149" i="1" a="1"/>
  <c r="O149" i="1" s="1"/>
  <c r="O150" i="1" a="1"/>
  <c r="O150" i="1" s="1"/>
  <c r="O151" i="1" a="1"/>
  <c r="O151" i="1" s="1"/>
  <c r="O152" i="1" a="1"/>
  <c r="O152" i="1" s="1"/>
  <c r="O153" i="1" a="1"/>
  <c r="O153" i="1" s="1"/>
  <c r="O154" i="1" a="1"/>
  <c r="O154" i="1" s="1"/>
  <c r="O155" i="1" a="1"/>
  <c r="O155" i="1" s="1"/>
  <c r="O156" i="1" a="1"/>
  <c r="O156" i="1" s="1"/>
  <c r="O157" i="1" a="1"/>
  <c r="O157" i="1" s="1"/>
  <c r="O158" i="1" a="1"/>
  <c r="O158" i="1" s="1"/>
  <c r="O159" i="1" a="1"/>
  <c r="O159" i="1" s="1"/>
  <c r="O160" i="1" a="1"/>
  <c r="O160" i="1" s="1"/>
  <c r="O161" i="1" a="1"/>
  <c r="O161" i="1" s="1"/>
  <c r="O162" i="1" a="1"/>
  <c r="O162" i="1" s="1"/>
  <c r="O163" i="1" a="1"/>
  <c r="O163" i="1" s="1"/>
  <c r="O164" i="1" a="1"/>
  <c r="O164" i="1" s="1"/>
  <c r="O165" i="1" a="1"/>
  <c r="O165" i="1" s="1"/>
  <c r="O166" i="1" a="1"/>
  <c r="O166" i="1" s="1"/>
  <c r="O167" i="1" a="1"/>
  <c r="O167" i="1" s="1"/>
  <c r="O168" i="1" a="1"/>
  <c r="O168" i="1" s="1"/>
  <c r="O169" i="1" a="1"/>
  <c r="O169" i="1" s="1"/>
  <c r="O170" i="1" a="1"/>
  <c r="O170" i="1" s="1"/>
  <c r="O171" i="1" a="1"/>
  <c r="O171" i="1" s="1"/>
  <c r="O172" i="1" a="1"/>
  <c r="O172" i="1" s="1"/>
  <c r="O173" i="1" a="1"/>
  <c r="O173" i="1" s="1"/>
  <c r="O174" i="1" a="1"/>
  <c r="O174" i="1" s="1"/>
  <c r="O175" i="1" a="1"/>
  <c r="O175" i="1" s="1"/>
  <c r="O176" i="1" a="1"/>
  <c r="O176" i="1" s="1"/>
  <c r="O177" i="1" a="1"/>
  <c r="O177" i="1" s="1"/>
  <c r="O178" i="1" a="1"/>
  <c r="O178" i="1" s="1"/>
  <c r="O179" i="1" a="1"/>
  <c r="O179" i="1" s="1"/>
  <c r="O180" i="1" a="1"/>
  <c r="O180" i="1" s="1"/>
  <c r="O181" i="1" a="1"/>
  <c r="O181" i="1" s="1"/>
  <c r="O182" i="1" a="1"/>
  <c r="O182" i="1" s="1"/>
  <c r="O183" i="1" a="1"/>
  <c r="O183" i="1" s="1"/>
  <c r="O184" i="1" a="1"/>
  <c r="O184" i="1" s="1"/>
  <c r="O185" i="1" a="1"/>
  <c r="O185" i="1" s="1"/>
  <c r="O186" i="1" a="1"/>
  <c r="O186" i="1" s="1"/>
  <c r="O187" i="1" a="1"/>
  <c r="O187" i="1" s="1"/>
  <c r="O188" i="1" a="1"/>
  <c r="O188" i="1" s="1"/>
  <c r="O189" i="1" a="1"/>
  <c r="O189" i="1" s="1"/>
  <c r="O190" i="1" a="1"/>
  <c r="O190" i="1" s="1"/>
  <c r="O191" i="1" a="1"/>
  <c r="O191" i="1" s="1"/>
  <c r="O192" i="1" a="1"/>
  <c r="O192" i="1" s="1"/>
  <c r="O193" i="1" a="1"/>
  <c r="O193" i="1" s="1"/>
  <c r="O194" i="1" a="1"/>
  <c r="O194" i="1" s="1"/>
  <c r="O195" i="1" a="1"/>
  <c r="O195" i="1" s="1"/>
  <c r="O196" i="1" a="1"/>
  <c r="O196" i="1" s="1"/>
  <c r="O197" i="1" a="1"/>
  <c r="O197" i="1" s="1"/>
  <c r="O198" i="1" a="1"/>
  <c r="O198" i="1" s="1"/>
  <c r="O199" i="1" a="1"/>
  <c r="O199" i="1" s="1"/>
  <c r="O200" i="1" a="1"/>
  <c r="O200" i="1" s="1"/>
  <c r="O201" i="1" a="1"/>
  <c r="O201" i="1" s="1"/>
  <c r="O202" i="1" a="1"/>
  <c r="O202" i="1" s="1"/>
  <c r="O203" i="1" a="1"/>
  <c r="O203" i="1" s="1"/>
  <c r="O204" i="1" a="1"/>
  <c r="O204" i="1" s="1"/>
  <c r="O205" i="1" a="1"/>
  <c r="O205" i="1" s="1"/>
  <c r="O206" i="1" a="1"/>
  <c r="O206" i="1" s="1"/>
  <c r="O207" i="1" a="1"/>
  <c r="O207" i="1" s="1"/>
  <c r="O208" i="1" a="1"/>
  <c r="O208" i="1" s="1"/>
  <c r="O209" i="1" a="1"/>
  <c r="O209" i="1" s="1"/>
  <c r="O210" i="1" a="1"/>
  <c r="O210" i="1" s="1"/>
  <c r="O211" i="1" a="1"/>
  <c r="O211" i="1" s="1"/>
  <c r="O212" i="1" a="1"/>
  <c r="O212" i="1" s="1"/>
  <c r="O213" i="1" a="1"/>
  <c r="O213" i="1" s="1"/>
  <c r="O214" i="1" a="1"/>
  <c r="O214" i="1" s="1"/>
  <c r="O215" i="1" a="1"/>
  <c r="O215" i="1" s="1"/>
  <c r="O216" i="1" a="1"/>
  <c r="O216" i="1" s="1"/>
  <c r="O217" i="1" a="1"/>
  <c r="O217" i="1" s="1"/>
  <c r="O218" i="1" a="1"/>
  <c r="O218" i="1" s="1"/>
  <c r="O219" i="1" a="1"/>
  <c r="O219" i="1" s="1"/>
  <c r="O220" i="1" a="1"/>
  <c r="O220" i="1" s="1"/>
  <c r="O221" i="1" a="1"/>
  <c r="O221" i="1" s="1"/>
  <c r="O222" i="1" a="1"/>
  <c r="O222" i="1" s="1"/>
  <c r="O223" i="1" a="1"/>
  <c r="O223" i="1" s="1"/>
  <c r="O224" i="1" a="1"/>
  <c r="O224" i="1" s="1"/>
  <c r="O225" i="1" a="1"/>
  <c r="O225" i="1" s="1"/>
  <c r="O226" i="1" a="1"/>
  <c r="O226" i="1" s="1"/>
  <c r="O227" i="1" a="1"/>
  <c r="O227" i="1" s="1"/>
  <c r="O228" i="1" a="1"/>
  <c r="O228" i="1" s="1"/>
  <c r="O229" i="1" a="1"/>
  <c r="O229" i="1" s="1"/>
  <c r="O230" i="1" a="1"/>
  <c r="O230" i="1" s="1"/>
  <c r="O231" i="1" a="1"/>
  <c r="O231" i="1" s="1"/>
  <c r="O232" i="1" a="1"/>
  <c r="O232" i="1" s="1"/>
  <c r="O233" i="1" a="1"/>
  <c r="O233" i="1" s="1"/>
  <c r="O234" i="1" a="1"/>
  <c r="O234" i="1" s="1"/>
  <c r="O235" i="1" a="1"/>
  <c r="O235" i="1" s="1"/>
  <c r="O236" i="1" a="1"/>
  <c r="O236" i="1" s="1"/>
  <c r="O237" i="1" a="1"/>
  <c r="O237" i="1" s="1"/>
  <c r="O238" i="1" a="1"/>
  <c r="O238" i="1" s="1"/>
  <c r="O239" i="1" a="1"/>
  <c r="O239" i="1" s="1"/>
  <c r="O240" i="1" a="1"/>
  <c r="O240" i="1" s="1"/>
  <c r="O241" i="1" a="1"/>
  <c r="O241" i="1" s="1"/>
  <c r="O242" i="1" a="1"/>
  <c r="O242" i="1" s="1"/>
  <c r="O243" i="1" a="1"/>
  <c r="O243" i="1" s="1"/>
  <c r="O244" i="1" a="1"/>
  <c r="O244" i="1" s="1"/>
  <c r="O245" i="1" a="1"/>
  <c r="O245" i="1" s="1"/>
  <c r="O246" i="1" a="1"/>
  <c r="O246" i="1" s="1"/>
  <c r="O247" i="1" a="1"/>
  <c r="O247" i="1" s="1"/>
  <c r="O248" i="1" a="1"/>
  <c r="O248" i="1" s="1"/>
  <c r="O249" i="1" a="1"/>
  <c r="O249" i="1" s="1"/>
  <c r="O250" i="1" a="1"/>
  <c r="O250" i="1" s="1"/>
  <c r="O251" i="1" a="1"/>
  <c r="O251" i="1" s="1"/>
  <c r="O252" i="1" a="1"/>
  <c r="O252" i="1" s="1"/>
  <c r="O253" i="1" a="1"/>
  <c r="O253" i="1" s="1"/>
  <c r="O254" i="1" a="1"/>
  <c r="O254" i="1" s="1"/>
  <c r="O255" i="1" a="1"/>
  <c r="O255" i="1" s="1"/>
  <c r="O256" i="1" a="1"/>
  <c r="O256" i="1" s="1"/>
  <c r="O257" i="1" a="1"/>
  <c r="O257" i="1" s="1"/>
  <c r="O258" i="1" a="1"/>
  <c r="O258" i="1" s="1"/>
  <c r="O259" i="1" a="1"/>
  <c r="O259" i="1" s="1"/>
  <c r="O260" i="1" a="1"/>
  <c r="O260" i="1" s="1"/>
  <c r="O261" i="1" a="1"/>
  <c r="O261" i="1" s="1"/>
  <c r="O262" i="1" a="1"/>
  <c r="O262" i="1" s="1"/>
  <c r="O263" i="1" a="1"/>
  <c r="O263" i="1" s="1"/>
  <c r="O264" i="1" a="1"/>
  <c r="O264" i="1" s="1"/>
  <c r="O265" i="1" a="1"/>
  <c r="O265" i="1" s="1"/>
  <c r="O266" i="1" a="1"/>
  <c r="O266" i="1" s="1"/>
  <c r="O267" i="1" a="1"/>
  <c r="O267" i="1" s="1"/>
  <c r="O268" i="1" a="1"/>
  <c r="O268" i="1" s="1"/>
  <c r="O269" i="1" a="1"/>
  <c r="O269" i="1" s="1"/>
  <c r="O270" i="1" a="1"/>
  <c r="O270" i="1" s="1"/>
  <c r="O271" i="1" a="1"/>
  <c r="O271" i="1" s="1"/>
  <c r="O272" i="1" a="1"/>
  <c r="O272" i="1" s="1"/>
  <c r="O273" i="1" a="1"/>
  <c r="O273" i="1" s="1"/>
  <c r="O274" i="1" a="1"/>
  <c r="O274" i="1" s="1"/>
  <c r="O275" i="1" a="1"/>
  <c r="O275" i="1" s="1"/>
  <c r="O276" i="1" a="1"/>
  <c r="O276" i="1" s="1"/>
  <c r="O277" i="1" a="1"/>
  <c r="O277" i="1" s="1"/>
  <c r="O278" i="1" a="1"/>
  <c r="O278" i="1" s="1"/>
  <c r="O279" i="1" a="1"/>
  <c r="O279" i="1" s="1"/>
  <c r="O280" i="1" a="1"/>
  <c r="O280" i="1" s="1"/>
  <c r="O281" i="1" a="1"/>
  <c r="O281" i="1" s="1"/>
  <c r="O282" i="1" a="1"/>
  <c r="O282" i="1" s="1"/>
  <c r="O283" i="1" a="1"/>
  <c r="O283" i="1" s="1"/>
  <c r="O284" i="1" a="1"/>
  <c r="O284" i="1" s="1"/>
  <c r="O285" i="1" a="1"/>
  <c r="O285" i="1" s="1"/>
  <c r="O286" i="1" a="1"/>
  <c r="O286" i="1" s="1"/>
  <c r="O287" i="1" a="1"/>
  <c r="O287" i="1" s="1"/>
  <c r="O288" i="1" a="1"/>
  <c r="O288" i="1" s="1"/>
  <c r="O289" i="1" a="1"/>
  <c r="O289" i="1" s="1"/>
  <c r="O290" i="1" a="1"/>
  <c r="O290" i="1" s="1"/>
  <c r="O291" i="1" a="1"/>
  <c r="O291" i="1" s="1"/>
  <c r="O292" i="1" a="1"/>
  <c r="O292" i="1" s="1"/>
  <c r="O293" i="1" a="1"/>
  <c r="O293" i="1" s="1"/>
  <c r="O294" i="1" a="1"/>
  <c r="O294" i="1" s="1"/>
  <c r="O295" i="1" a="1"/>
  <c r="O295" i="1" s="1"/>
  <c r="O296" i="1" a="1"/>
  <c r="O296" i="1" s="1"/>
  <c r="O297" i="1" a="1"/>
  <c r="O297" i="1" s="1"/>
  <c r="O298" i="1" a="1"/>
  <c r="O298" i="1" s="1"/>
  <c r="O299" i="1" a="1"/>
  <c r="O299" i="1" s="1"/>
  <c r="O300" i="1" a="1"/>
  <c r="O300" i="1" s="1"/>
  <c r="O301" i="1" a="1"/>
  <c r="O301" i="1" s="1"/>
  <c r="O302" i="1" a="1"/>
  <c r="O302" i="1" s="1"/>
  <c r="O303" i="1" a="1"/>
  <c r="O303" i="1" s="1"/>
  <c r="O304" i="1" a="1"/>
  <c r="O304" i="1" s="1"/>
  <c r="O305" i="1" a="1"/>
  <c r="O305" i="1" s="1"/>
  <c r="O306" i="1" a="1"/>
  <c r="O306" i="1" s="1"/>
  <c r="O307" i="1" a="1"/>
  <c r="O307" i="1" s="1"/>
  <c r="O308" i="1" a="1"/>
  <c r="O308" i="1" s="1"/>
  <c r="O309" i="1" a="1"/>
  <c r="O309" i="1" s="1"/>
  <c r="O310" i="1" a="1"/>
  <c r="O310" i="1" s="1"/>
  <c r="O311" i="1" a="1"/>
  <c r="O311" i="1" s="1"/>
  <c r="O312" i="1" a="1"/>
  <c r="O312" i="1" s="1"/>
  <c r="O313" i="1" a="1"/>
  <c r="O313" i="1" s="1"/>
  <c r="O314" i="1" a="1"/>
  <c r="O314" i="1" s="1"/>
  <c r="O315" i="1" a="1"/>
  <c r="O315" i="1" s="1"/>
  <c r="O316" i="1" a="1"/>
  <c r="O316" i="1" s="1"/>
  <c r="O317" i="1" a="1"/>
  <c r="O317" i="1" s="1"/>
  <c r="O318" i="1" a="1"/>
  <c r="O318" i="1" s="1"/>
  <c r="O319" i="1" a="1"/>
  <c r="O319" i="1" s="1"/>
  <c r="O320" i="1" a="1"/>
  <c r="O320" i="1" s="1"/>
  <c r="O321" i="1" a="1"/>
  <c r="O321" i="1" s="1"/>
  <c r="O322" i="1" a="1"/>
  <c r="O322" i="1" s="1"/>
  <c r="O323" i="1" a="1"/>
  <c r="O323" i="1" s="1"/>
  <c r="O324" i="1" a="1"/>
  <c r="O324" i="1" s="1"/>
  <c r="O325" i="1" a="1"/>
  <c r="O325" i="1" s="1"/>
  <c r="O326" i="1" a="1"/>
  <c r="O326" i="1" s="1"/>
  <c r="O327" i="1" a="1"/>
  <c r="O327" i="1" s="1"/>
  <c r="O328" i="1" a="1"/>
  <c r="O328" i="1" s="1"/>
  <c r="O329" i="1" a="1"/>
  <c r="O329" i="1" s="1"/>
  <c r="O330" i="1" a="1"/>
  <c r="O330" i="1" s="1"/>
  <c r="O331" i="1" a="1"/>
  <c r="O331" i="1" s="1"/>
  <c r="O332" i="1" a="1"/>
  <c r="O332" i="1" s="1"/>
  <c r="O333" i="1" a="1"/>
  <c r="O333" i="1" s="1"/>
  <c r="O334" i="1" a="1"/>
  <c r="O334" i="1" s="1"/>
  <c r="O335" i="1" a="1"/>
  <c r="O335" i="1" s="1"/>
  <c r="O336" i="1" a="1"/>
  <c r="O336" i="1" s="1"/>
  <c r="O337" i="1" a="1"/>
  <c r="O337" i="1" s="1"/>
  <c r="O338" i="1" a="1"/>
  <c r="O338" i="1" s="1"/>
  <c r="O339" i="1" a="1"/>
  <c r="O339" i="1" s="1"/>
  <c r="O340" i="1" a="1"/>
  <c r="O340" i="1" s="1"/>
  <c r="O341" i="1" a="1"/>
  <c r="O341" i="1" s="1"/>
  <c r="O342" i="1" a="1"/>
  <c r="O342" i="1" s="1"/>
  <c r="O343" i="1" a="1"/>
  <c r="O343" i="1" s="1"/>
  <c r="O344" i="1" a="1"/>
  <c r="O344" i="1" s="1"/>
  <c r="O345" i="1" a="1"/>
  <c r="O345" i="1" s="1"/>
  <c r="O346" i="1" a="1"/>
  <c r="O346" i="1" s="1"/>
  <c r="O347" i="1" a="1"/>
  <c r="O347" i="1" s="1"/>
  <c r="O348" i="1" a="1"/>
  <c r="O348" i="1" s="1"/>
  <c r="O349" i="1" a="1"/>
  <c r="O349" i="1" s="1"/>
  <c r="O350" i="1" a="1"/>
  <c r="O350" i="1" s="1"/>
  <c r="O351" i="1" a="1"/>
  <c r="O351" i="1" s="1"/>
  <c r="O352" i="1" a="1"/>
  <c r="O352" i="1" s="1"/>
  <c r="O353" i="1" a="1"/>
  <c r="O353" i="1" s="1"/>
  <c r="O354" i="1" a="1"/>
  <c r="O354" i="1" s="1"/>
  <c r="O355" i="1" a="1"/>
  <c r="O355" i="1" s="1"/>
  <c r="O356" i="1" a="1"/>
  <c r="O356" i="1" s="1"/>
  <c r="O357" i="1" a="1"/>
  <c r="O357" i="1" s="1"/>
  <c r="O358" i="1" a="1"/>
  <c r="O358" i="1" s="1"/>
  <c r="O359" i="1" a="1"/>
  <c r="O359" i="1" s="1"/>
  <c r="O360" i="1" a="1"/>
  <c r="O360" i="1" s="1"/>
  <c r="O361" i="1" a="1"/>
  <c r="O361" i="1" s="1"/>
  <c r="O362" i="1" a="1"/>
  <c r="O362" i="1" s="1"/>
  <c r="O363" i="1" a="1"/>
  <c r="O363" i="1" s="1"/>
  <c r="O364" i="1" a="1"/>
  <c r="O364" i="1" s="1"/>
  <c r="O365" i="1" a="1"/>
  <c r="O365" i="1" s="1"/>
  <c r="O366" i="1" a="1"/>
  <c r="O366" i="1" s="1"/>
  <c r="O367" i="1" a="1"/>
  <c r="O367" i="1" s="1"/>
  <c r="O368" i="1" a="1"/>
  <c r="O368" i="1" s="1"/>
  <c r="O369" i="1" a="1"/>
  <c r="O369" i="1" s="1"/>
  <c r="O370" i="1" a="1"/>
  <c r="O370" i="1" s="1"/>
  <c r="O371" i="1" a="1"/>
  <c r="O371" i="1" s="1"/>
  <c r="O372" i="1" a="1"/>
  <c r="O372" i="1" s="1"/>
  <c r="O373" i="1" a="1"/>
  <c r="O373" i="1" s="1"/>
  <c r="O374" i="1" a="1"/>
  <c r="O374" i="1" s="1"/>
  <c r="O375" i="1" a="1"/>
  <c r="O375" i="1" s="1"/>
  <c r="O376" i="1" a="1"/>
  <c r="O376" i="1" s="1"/>
  <c r="O377" i="1" a="1"/>
  <c r="O377" i="1" s="1"/>
  <c r="O378" i="1" a="1"/>
  <c r="O378" i="1" s="1"/>
  <c r="O379" i="1" a="1"/>
  <c r="O379" i="1" s="1"/>
  <c r="O380" i="1" a="1"/>
  <c r="O380" i="1" s="1"/>
  <c r="O381" i="1" a="1"/>
  <c r="O381" i="1" s="1"/>
  <c r="O382" i="1" a="1"/>
  <c r="O382" i="1" s="1"/>
  <c r="O383" i="1" a="1"/>
  <c r="O383" i="1" s="1"/>
  <c r="O384" i="1" a="1"/>
  <c r="O384" i="1" s="1"/>
  <c r="O385" i="1" a="1"/>
  <c r="O385" i="1" s="1"/>
  <c r="O386" i="1" a="1"/>
  <c r="O386" i="1" s="1"/>
  <c r="O387" i="1" a="1"/>
  <c r="O387" i="1" s="1"/>
  <c r="O388" i="1" a="1"/>
  <c r="O388" i="1" s="1"/>
  <c r="O389" i="1" a="1"/>
  <c r="O389" i="1" s="1"/>
  <c r="O390" i="1" a="1"/>
  <c r="O390" i="1" s="1"/>
  <c r="O391" i="1" a="1"/>
  <c r="O391" i="1" s="1"/>
  <c r="O392" i="1" a="1"/>
  <c r="O392" i="1" s="1"/>
  <c r="O393" i="1" a="1"/>
  <c r="O393" i="1" s="1"/>
  <c r="O394" i="1" a="1"/>
  <c r="O394" i="1" s="1"/>
  <c r="O395" i="1" a="1"/>
  <c r="O395" i="1" s="1"/>
  <c r="O396" i="1" a="1"/>
  <c r="O396" i="1" s="1"/>
  <c r="O397" i="1" a="1"/>
  <c r="O397" i="1" s="1"/>
  <c r="O398" i="1" a="1"/>
  <c r="O398" i="1" s="1"/>
  <c r="O399" i="1" a="1"/>
  <c r="O399" i="1" s="1"/>
  <c r="O400" i="1" a="1"/>
  <c r="O400" i="1" s="1"/>
  <c r="O401" i="1" a="1"/>
  <c r="O401" i="1" s="1"/>
  <c r="O402" i="1" a="1"/>
  <c r="O402" i="1" s="1"/>
  <c r="O403" i="1" a="1"/>
  <c r="O403" i="1" s="1"/>
  <c r="O404" i="1" a="1"/>
  <c r="O404" i="1" s="1"/>
  <c r="O405" i="1" a="1"/>
  <c r="O405" i="1" s="1"/>
  <c r="O406" i="1" a="1"/>
  <c r="O406" i="1" s="1"/>
  <c r="O407" i="1" a="1"/>
  <c r="O407" i="1" s="1"/>
  <c r="O408" i="1" a="1"/>
  <c r="O408" i="1" s="1"/>
  <c r="O409" i="1" a="1"/>
  <c r="O409" i="1" s="1"/>
  <c r="O410" i="1" a="1"/>
  <c r="O410" i="1" s="1"/>
  <c r="O411" i="1" a="1"/>
  <c r="O411" i="1" s="1"/>
  <c r="O412" i="1" a="1"/>
  <c r="O412" i="1" s="1"/>
  <c r="O413" i="1" a="1"/>
  <c r="O413" i="1" s="1"/>
  <c r="O414" i="1" a="1"/>
  <c r="O414" i="1" s="1"/>
  <c r="O415" i="1" a="1"/>
  <c r="O415" i="1" s="1"/>
  <c r="O416" i="1" a="1"/>
  <c r="O416" i="1" s="1"/>
  <c r="O417" i="1" a="1"/>
  <c r="O417" i="1" s="1"/>
  <c r="O418" i="1" a="1"/>
  <c r="O418" i="1" s="1"/>
  <c r="O419" i="1" a="1"/>
  <c r="O419" i="1" s="1"/>
  <c r="O420" i="1" a="1"/>
  <c r="O420" i="1" s="1"/>
  <c r="O421" i="1" a="1"/>
  <c r="O421" i="1" s="1"/>
  <c r="O422" i="1" a="1"/>
  <c r="O422" i="1" s="1"/>
  <c r="O423" i="1" a="1"/>
  <c r="O423" i="1" s="1"/>
  <c r="O424" i="1" a="1"/>
  <c r="O424" i="1" s="1"/>
  <c r="O425" i="1" a="1"/>
  <c r="O425" i="1" s="1"/>
  <c r="O426" i="1" a="1"/>
  <c r="O426" i="1" s="1"/>
  <c r="O427" i="1" a="1"/>
  <c r="O427" i="1" s="1"/>
  <c r="O428" i="1" a="1"/>
  <c r="O428" i="1" s="1"/>
  <c r="O429" i="1" a="1"/>
  <c r="O429" i="1" s="1"/>
  <c r="O430" i="1" a="1"/>
  <c r="O430" i="1" s="1"/>
  <c r="O431" i="1" a="1"/>
  <c r="O431" i="1" s="1"/>
  <c r="O432" i="1" a="1"/>
  <c r="O432" i="1" s="1"/>
  <c r="O433" i="1" a="1"/>
  <c r="O433" i="1" s="1"/>
  <c r="O434" i="1" a="1"/>
  <c r="O434" i="1" s="1"/>
  <c r="O435" i="1" a="1"/>
  <c r="O435" i="1" s="1"/>
  <c r="O436" i="1" a="1"/>
  <c r="O436" i="1" s="1"/>
  <c r="O437" i="1" a="1"/>
  <c r="O437" i="1" s="1"/>
  <c r="O438" i="1" a="1"/>
  <c r="O438" i="1" s="1"/>
  <c r="O439" i="1" a="1"/>
  <c r="O439" i="1" s="1"/>
  <c r="O440" i="1" a="1"/>
  <c r="O440" i="1" s="1"/>
  <c r="O441" i="1" a="1"/>
  <c r="O441" i="1" s="1"/>
  <c r="O442" i="1" a="1"/>
  <c r="O442" i="1" s="1"/>
  <c r="O443" i="1" a="1"/>
  <c r="O443" i="1" s="1"/>
  <c r="O444" i="1" a="1"/>
  <c r="O444" i="1" s="1"/>
  <c r="O445" i="1" a="1"/>
  <c r="O445" i="1" s="1"/>
  <c r="O446" i="1" a="1"/>
  <c r="O446" i="1" s="1"/>
  <c r="O447" i="1" a="1"/>
  <c r="O447" i="1" s="1"/>
  <c r="O448" i="1" a="1"/>
  <c r="O448" i="1" s="1"/>
  <c r="O449" i="1" a="1"/>
  <c r="O449" i="1" s="1"/>
  <c r="O450" i="1" a="1"/>
  <c r="O450" i="1" s="1"/>
  <c r="O451" i="1" a="1"/>
  <c r="O451" i="1" s="1"/>
  <c r="O452" i="1" a="1"/>
  <c r="O452" i="1" s="1"/>
  <c r="O453" i="1" a="1"/>
  <c r="O453" i="1" s="1"/>
  <c r="O454" i="1" a="1"/>
  <c r="O454" i="1" s="1"/>
  <c r="O455" i="1" a="1"/>
  <c r="O455" i="1" s="1"/>
  <c r="O456" i="1" a="1"/>
  <c r="O456" i="1" s="1"/>
  <c r="O457" i="1" a="1"/>
  <c r="O457" i="1" s="1"/>
  <c r="O458" i="1" a="1"/>
  <c r="O458" i="1" s="1"/>
  <c r="O459" i="1" a="1"/>
  <c r="O459" i="1" s="1"/>
  <c r="O460" i="1" a="1"/>
  <c r="O460" i="1" s="1"/>
  <c r="O461" i="1" a="1"/>
  <c r="O461" i="1" s="1"/>
  <c r="O462" i="1" a="1"/>
  <c r="O462" i="1" s="1"/>
  <c r="O463" i="1" a="1"/>
  <c r="O463" i="1" s="1"/>
  <c r="O464" i="1" a="1"/>
  <c r="O464" i="1" s="1"/>
  <c r="O465" i="1" a="1"/>
  <c r="O465" i="1" s="1"/>
  <c r="O466" i="1" a="1"/>
  <c r="O466" i="1" s="1"/>
  <c r="O467" i="1" a="1"/>
  <c r="O467" i="1" s="1"/>
  <c r="O468" i="1" a="1"/>
  <c r="O468" i="1" s="1"/>
  <c r="O469" i="1" a="1"/>
  <c r="O469" i="1" s="1"/>
  <c r="O470" i="1" a="1"/>
  <c r="O470" i="1" s="1"/>
  <c r="O471" i="1" a="1"/>
  <c r="O471" i="1" s="1"/>
  <c r="O472" i="1" a="1"/>
  <c r="O472" i="1" s="1"/>
  <c r="O473" i="1" a="1"/>
  <c r="O473" i="1" s="1"/>
  <c r="O474" i="1" a="1"/>
  <c r="O474" i="1" s="1"/>
  <c r="O475" i="1" a="1"/>
  <c r="O475" i="1" s="1"/>
  <c r="O476" i="1" a="1"/>
  <c r="O476" i="1" s="1"/>
  <c r="O477" i="1" a="1"/>
  <c r="O477" i="1" s="1"/>
  <c r="O478" i="1" a="1"/>
  <c r="O478" i="1" s="1"/>
  <c r="O479" i="1" a="1"/>
  <c r="O479" i="1" s="1"/>
  <c r="O480" i="1" a="1"/>
  <c r="O480" i="1" s="1"/>
  <c r="O481" i="1" a="1"/>
  <c r="O481" i="1" s="1"/>
  <c r="O482" i="1" a="1"/>
  <c r="O482" i="1" s="1"/>
  <c r="O483" i="1" a="1"/>
  <c r="O483" i="1" s="1"/>
  <c r="O484" i="1" a="1"/>
  <c r="O484" i="1" s="1"/>
  <c r="O485" i="1" a="1"/>
  <c r="O485" i="1" s="1"/>
  <c r="O486" i="1" a="1"/>
  <c r="O486" i="1" s="1"/>
  <c r="O487" i="1" a="1"/>
  <c r="O487" i="1" s="1"/>
  <c r="O488" i="1" a="1"/>
  <c r="O488" i="1" s="1"/>
  <c r="O489" i="1" a="1"/>
  <c r="O489" i="1" s="1"/>
  <c r="O490" i="1" a="1"/>
  <c r="O490" i="1" s="1"/>
  <c r="O491" i="1" a="1"/>
  <c r="O491" i="1" s="1"/>
  <c r="O492" i="1" a="1"/>
  <c r="O492" i="1" s="1"/>
  <c r="O493" i="1" a="1"/>
  <c r="O493" i="1" s="1"/>
  <c r="O494" i="1" a="1"/>
  <c r="O494" i="1" s="1"/>
  <c r="O495" i="1" a="1"/>
  <c r="O495" i="1" s="1"/>
  <c r="O496" i="1" a="1"/>
  <c r="O496" i="1" s="1"/>
  <c r="O497" i="1" a="1"/>
  <c r="O497" i="1" s="1"/>
  <c r="O498" i="1" a="1"/>
  <c r="O498" i="1" s="1"/>
  <c r="O499" i="1" a="1"/>
  <c r="O499" i="1" s="1"/>
  <c r="O500" i="1" a="1"/>
  <c r="O500" i="1" s="1"/>
  <c r="O501" i="1" a="1"/>
  <c r="O501" i="1" s="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40D10D-744B-4164-9755-55476E7DC6E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A3D7168-C383-4405-8058-F7AB129F3603}" name="WorksheetConnection_HR_Dataset_nnew.xlsx!Table1" type="102" refreshedVersion="8" minRefreshableVersion="5">
    <extLst>
      <ext xmlns:x15="http://schemas.microsoft.com/office/spreadsheetml/2010/11/main" uri="{DE250136-89BD-433C-8126-D09CA5730AF9}">
        <x15:connection id="Table1" autoDelete="1">
          <x15:rangePr sourceName="_xlcn.WorksheetConnection_HR_Dataset_nnew.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<sst xmlns="http://schemas.openxmlformats.org/spreadsheetml/2006/main" count="3201" uniqueCount="589">
  <si>
    <t>Employee_ID</t>
  </si>
  <si>
    <t>Name</t>
  </si>
  <si>
    <t>Gender</t>
  </si>
  <si>
    <t>Age</t>
  </si>
  <si>
    <t>Department</t>
  </si>
  <si>
    <t>Job_Role</t>
  </si>
  <si>
    <t>Salary</t>
  </si>
  <si>
    <t>Hire_Date</t>
  </si>
  <si>
    <t>Exit_Date</t>
  </si>
  <si>
    <t>Employment_Status</t>
  </si>
  <si>
    <t>Performance_Rating</t>
  </si>
  <si>
    <t>Training_Hours</t>
  </si>
  <si>
    <t>Attendance_%</t>
  </si>
  <si>
    <t>John</t>
  </si>
  <si>
    <t>Male</t>
  </si>
  <si>
    <t>Tech</t>
  </si>
  <si>
    <t>Lead</t>
  </si>
  <si>
    <t>2021-05-24</t>
  </si>
  <si>
    <t>Active</t>
  </si>
  <si>
    <t>Ibrahim</t>
  </si>
  <si>
    <t>Female</t>
  </si>
  <si>
    <t>Sales</t>
  </si>
  <si>
    <t>Manager</t>
  </si>
  <si>
    <t>2023-12-26</t>
  </si>
  <si>
    <t>Aisha</t>
  </si>
  <si>
    <t>2020-08-09</t>
  </si>
  <si>
    <t>Fatima</t>
  </si>
  <si>
    <t>Associate</t>
  </si>
  <si>
    <t>2020-10-01</t>
  </si>
  <si>
    <t>Kunle</t>
  </si>
  <si>
    <t>2021-04-10</t>
  </si>
  <si>
    <t>David</t>
  </si>
  <si>
    <t>2019-09-04</t>
  </si>
  <si>
    <t>Grace</t>
  </si>
  <si>
    <t>Analyst</t>
  </si>
  <si>
    <t>2024-04-16</t>
  </si>
  <si>
    <t>Chioma</t>
  </si>
  <si>
    <t>2023-07-18</t>
  </si>
  <si>
    <t>2023-10-20</t>
  </si>
  <si>
    <t>2023-06-19</t>
  </si>
  <si>
    <t>Michael</t>
  </si>
  <si>
    <t>2022-01-21</t>
  </si>
  <si>
    <t>2024-01-09</t>
  </si>
  <si>
    <t>2019-09-07</t>
  </si>
  <si>
    <t>2022-09-19</t>
  </si>
  <si>
    <t>Finance</t>
  </si>
  <si>
    <t>2020-10-04</t>
  </si>
  <si>
    <t>Ada</t>
  </si>
  <si>
    <t>2023-07-05</t>
  </si>
  <si>
    <t>Operations</t>
  </si>
  <si>
    <t>2020-04-04</t>
  </si>
  <si>
    <t>2021-09-10</t>
  </si>
  <si>
    <t>2022-10-25</t>
  </si>
  <si>
    <t>2022-08-08</t>
  </si>
  <si>
    <t>2024-03-18</t>
  </si>
  <si>
    <t>Exited</t>
  </si>
  <si>
    <t>2019-02-16</t>
  </si>
  <si>
    <t>2022-02-07</t>
  </si>
  <si>
    <t>Mary</t>
  </si>
  <si>
    <t>2019-08-16</t>
  </si>
  <si>
    <t>2023-03-23</t>
  </si>
  <si>
    <t>HR</t>
  </si>
  <si>
    <t>2020-06-21</t>
  </si>
  <si>
    <t>2020-12-12</t>
  </si>
  <si>
    <t>2020-12-03</t>
  </si>
  <si>
    <t>2022-04-30</t>
  </si>
  <si>
    <t>2024-04-10</t>
  </si>
  <si>
    <t>2022-09-14</t>
  </si>
  <si>
    <t>2020-04-01</t>
  </si>
  <si>
    <t>2023-06-23</t>
  </si>
  <si>
    <t>2021-01-30</t>
  </si>
  <si>
    <t>2019-08-13</t>
  </si>
  <si>
    <t>2021-07-08</t>
  </si>
  <si>
    <t>2021-07-26</t>
  </si>
  <si>
    <t>2023-04-25</t>
  </si>
  <si>
    <t>Tunde</t>
  </si>
  <si>
    <t>2021-01-16</t>
  </si>
  <si>
    <t>2023-05-09</t>
  </si>
  <si>
    <t>2019-06-10</t>
  </si>
  <si>
    <t>2023-10-08</t>
  </si>
  <si>
    <t>2020-06-01</t>
  </si>
  <si>
    <t>2022-02-28</t>
  </si>
  <si>
    <t>2020-09-20</t>
  </si>
  <si>
    <t>2024-03-21</t>
  </si>
  <si>
    <t>2023-07-27</t>
  </si>
  <si>
    <t>2022-03-09</t>
  </si>
  <si>
    <t>2021-09-08</t>
  </si>
  <si>
    <t>2022-11-24</t>
  </si>
  <si>
    <t>2021-03-18</t>
  </si>
  <si>
    <t>2019-11-09</t>
  </si>
  <si>
    <t>2019-11-12</t>
  </si>
  <si>
    <t>2019-03-13</t>
  </si>
  <si>
    <t>2022-11-09</t>
  </si>
  <si>
    <t>2021-03-09</t>
  </si>
  <si>
    <t>2021-05-27</t>
  </si>
  <si>
    <t>2021-09-06</t>
  </si>
  <si>
    <t>2022-10-07</t>
  </si>
  <si>
    <t>2019-05-02</t>
  </si>
  <si>
    <t>2021-11-30</t>
  </si>
  <si>
    <t>2023-07-15</t>
  </si>
  <si>
    <t>2021-12-21</t>
  </si>
  <si>
    <t>2023-10-22</t>
  </si>
  <si>
    <t>2023-10-15</t>
  </si>
  <si>
    <t>2019-08-28</t>
  </si>
  <si>
    <t>2022-04-14</t>
  </si>
  <si>
    <t>2019-07-06</t>
  </si>
  <si>
    <t>2021-08-09</t>
  </si>
  <si>
    <t>2021-03-23</t>
  </si>
  <si>
    <t>2022-06-12</t>
  </si>
  <si>
    <t>2022-08-16</t>
  </si>
  <si>
    <t>2024-09-21</t>
  </si>
  <si>
    <t>2022-08-02</t>
  </si>
  <si>
    <t>2021-05-23</t>
  </si>
  <si>
    <t>2022-01-23</t>
  </si>
  <si>
    <t>2022-10-05</t>
  </si>
  <si>
    <t>2019-10-06</t>
  </si>
  <si>
    <t>2021-02-20</t>
  </si>
  <si>
    <t>2023-04-04</t>
  </si>
  <si>
    <t>2020-01-09</t>
  </si>
  <si>
    <t>2020-05-13</t>
  </si>
  <si>
    <t>2021-11-24</t>
  </si>
  <si>
    <t>2023-01-13</t>
  </si>
  <si>
    <t>2019-08-17</t>
  </si>
  <si>
    <t>2021-12-19</t>
  </si>
  <si>
    <t>2020-06-18</t>
  </si>
  <si>
    <t>2021-09-15</t>
  </si>
  <si>
    <t>2020-04-30</t>
  </si>
  <si>
    <t>2022-01-27</t>
  </si>
  <si>
    <t>2023-07-03</t>
  </si>
  <si>
    <t>2020-06-13</t>
  </si>
  <si>
    <t>2021-04-08</t>
  </si>
  <si>
    <t>2024-02-12</t>
  </si>
  <si>
    <t>2023-06-02</t>
  </si>
  <si>
    <t>2020-02-18</t>
  </si>
  <si>
    <t>2019-10-02</t>
  </si>
  <si>
    <t>2020-05-16</t>
  </si>
  <si>
    <t>2019-08-24</t>
  </si>
  <si>
    <t>2020-09-10</t>
  </si>
  <si>
    <t>2019-12-03</t>
  </si>
  <si>
    <t>2020-06-28</t>
  </si>
  <si>
    <t>2022-07-01</t>
  </si>
  <si>
    <t>2023-04-19</t>
  </si>
  <si>
    <t>2026-01-23</t>
  </si>
  <si>
    <t>2023-04-18</t>
  </si>
  <si>
    <t>2022-06-05</t>
  </si>
  <si>
    <t>2025-02-28</t>
  </si>
  <si>
    <t>2021-06-26</t>
  </si>
  <si>
    <t>2023-02-08</t>
  </si>
  <si>
    <t>2019-04-23</t>
  </si>
  <si>
    <t>2023-07-14</t>
  </si>
  <si>
    <t>2021-02-12</t>
  </si>
  <si>
    <t>2022-01-07</t>
  </si>
  <si>
    <t>2019-10-26</t>
  </si>
  <si>
    <t>2022-07-15</t>
  </si>
  <si>
    <t>2019-12-10</t>
  </si>
  <si>
    <t>2023-01-23</t>
  </si>
  <si>
    <t>2023-09-21</t>
  </si>
  <si>
    <t>2022-02-24</t>
  </si>
  <si>
    <t>2020-09-27</t>
  </si>
  <si>
    <t>2024-06-06</t>
  </si>
  <si>
    <t>2027-02-03</t>
  </si>
  <si>
    <t>2022-06-09</t>
  </si>
  <si>
    <t>2021-01-14</t>
  </si>
  <si>
    <t>2022-03-29</t>
  </si>
  <si>
    <t>2020-10-13</t>
  </si>
  <si>
    <t>2019-12-25</t>
  </si>
  <si>
    <t>2020-10-25</t>
  </si>
  <si>
    <t>2020-08-30</t>
  </si>
  <si>
    <t>2021-05-15</t>
  </si>
  <si>
    <t>2020-09-22</t>
  </si>
  <si>
    <t>2022-11-04</t>
  </si>
  <si>
    <t>2021-02-08</t>
  </si>
  <si>
    <t>2022-11-16</t>
  </si>
  <si>
    <t>2023-07-24</t>
  </si>
  <si>
    <t>2025-06-17</t>
  </si>
  <si>
    <t>2022-05-08</t>
  </si>
  <si>
    <t>2022-08-22</t>
  </si>
  <si>
    <t>2023-10-23</t>
  </si>
  <si>
    <t>2021-08-16</t>
  </si>
  <si>
    <t>2021-03-24</t>
  </si>
  <si>
    <t>2023-11-30</t>
  </si>
  <si>
    <t>2022-07-06</t>
  </si>
  <si>
    <t>2024-05-08</t>
  </si>
  <si>
    <t>2020-09-07</t>
  </si>
  <si>
    <t>2021-08-14</t>
  </si>
  <si>
    <t>2020-06-02</t>
  </si>
  <si>
    <t>2023-03-21</t>
  </si>
  <si>
    <t>2024-01-11</t>
  </si>
  <si>
    <t>2021-06-11</t>
  </si>
  <si>
    <t>2020-12-08</t>
  </si>
  <si>
    <t>2021-02-23</t>
  </si>
  <si>
    <t>2023-09-27</t>
  </si>
  <si>
    <t>2025-04-20</t>
  </si>
  <si>
    <t>2021-12-02</t>
  </si>
  <si>
    <t>2020-02-24</t>
  </si>
  <si>
    <t>2021-12-30</t>
  </si>
  <si>
    <t>2021-07-12</t>
  </si>
  <si>
    <t>2019-12-30</t>
  </si>
  <si>
    <t>2020-02-17</t>
  </si>
  <si>
    <t>2023-06-20</t>
  </si>
  <si>
    <t>2021-08-02</t>
  </si>
  <si>
    <t>2022-11-10</t>
  </si>
  <si>
    <t>2021-04-04</t>
  </si>
  <si>
    <t>2024-05-14</t>
  </si>
  <si>
    <t>2027-06-20</t>
  </si>
  <si>
    <t>2023-04-13</t>
  </si>
  <si>
    <t>2023-12-10</t>
  </si>
  <si>
    <t>2026-06-22</t>
  </si>
  <si>
    <t>2021-01-09</t>
  </si>
  <si>
    <t>2020-04-16</t>
  </si>
  <si>
    <t>2020-07-19</t>
  </si>
  <si>
    <t>2021-09-29</t>
  </si>
  <si>
    <t>2022-11-07</t>
  </si>
  <si>
    <t>2022-10-13</t>
  </si>
  <si>
    <t>2020-03-04</t>
  </si>
  <si>
    <t>2023-06-18</t>
  </si>
  <si>
    <t>2023-09-26</t>
  </si>
  <si>
    <t>2022-11-25</t>
  </si>
  <si>
    <t>2021-12-18</t>
  </si>
  <si>
    <t>2022-12-16</t>
  </si>
  <si>
    <t>2023-10-18</t>
  </si>
  <si>
    <t>2021-06-12</t>
  </si>
  <si>
    <t>2022-09-01</t>
  </si>
  <si>
    <t>2022-11-26</t>
  </si>
  <si>
    <t>2023-03-08</t>
  </si>
  <si>
    <t>2023-01-17</t>
  </si>
  <si>
    <t>2023-09-06</t>
  </si>
  <si>
    <t>2024-04-29</t>
  </si>
  <si>
    <t>2021-07-13</t>
  </si>
  <si>
    <t>2020-12-22</t>
  </si>
  <si>
    <t>2019-02-12</t>
  </si>
  <si>
    <t>2024-01-25</t>
  </si>
  <si>
    <t>2019-06-25</t>
  </si>
  <si>
    <t>2021-08-28</t>
  </si>
  <si>
    <t>2021-02-18</t>
  </si>
  <si>
    <t>2023-11-23</t>
  </si>
  <si>
    <t>2019-09-23</t>
  </si>
  <si>
    <t>2021-11-16</t>
  </si>
  <si>
    <t>2024-03-12</t>
  </si>
  <si>
    <t>2019-12-15</t>
  </si>
  <si>
    <t>2021-07-14</t>
  </si>
  <si>
    <t>2021-06-29</t>
  </si>
  <si>
    <t>2022-01-18</t>
  </si>
  <si>
    <t>2023-06-17</t>
  </si>
  <si>
    <t>2020-11-23</t>
  </si>
  <si>
    <t>2021-05-02</t>
  </si>
  <si>
    <t>2023-07-26</t>
  </si>
  <si>
    <t>2020-05-31</t>
  </si>
  <si>
    <t>2020-05-03</t>
  </si>
  <si>
    <t>2020-06-04</t>
  </si>
  <si>
    <t>2020-09-16</t>
  </si>
  <si>
    <t>2023-03-29</t>
  </si>
  <si>
    <t>2023-11-28</t>
  </si>
  <si>
    <t>2022-07-19</t>
  </si>
  <si>
    <t>2021-04-02</t>
  </si>
  <si>
    <t>2023-10-11</t>
  </si>
  <si>
    <t>2024-06-19</t>
  </si>
  <si>
    <t>2020-08-01</t>
  </si>
  <si>
    <t>2021-06-10</t>
  </si>
  <si>
    <t>2022-04-11</t>
  </si>
  <si>
    <t>2023-03-06</t>
  </si>
  <si>
    <t>2023-08-14</t>
  </si>
  <si>
    <t>2022-02-19</t>
  </si>
  <si>
    <t>2022-02-21</t>
  </si>
  <si>
    <t>2023-08-19</t>
  </si>
  <si>
    <t>2020-02-26</t>
  </si>
  <si>
    <t>2019-09-26</t>
  </si>
  <si>
    <t>2021-04-21</t>
  </si>
  <si>
    <t>2020-01-22</t>
  </si>
  <si>
    <t>2021-04-09</t>
  </si>
  <si>
    <t>2022-05-31</t>
  </si>
  <si>
    <t>2019-05-30</t>
  </si>
  <si>
    <t>2019-05-08</t>
  </si>
  <si>
    <t>2022-02-12</t>
  </si>
  <si>
    <t>2023-05-02</t>
  </si>
  <si>
    <t>2024-03-07</t>
  </si>
  <si>
    <t>2021-11-03</t>
  </si>
  <si>
    <t>2026-09-27</t>
  </si>
  <si>
    <t>2023-05-06</t>
  </si>
  <si>
    <t>2019-05-26</t>
  </si>
  <si>
    <t>2024-02-28</t>
  </si>
  <si>
    <t>2019-12-06</t>
  </si>
  <si>
    <t>2021-06-14</t>
  </si>
  <si>
    <t>2021-11-04</t>
  </si>
  <si>
    <t>2023-02-09</t>
  </si>
  <si>
    <t>2024-06-22</t>
  </si>
  <si>
    <t>2019-07-25</t>
  </si>
  <si>
    <t>2022-10-21</t>
  </si>
  <si>
    <t>2021-03-12</t>
  </si>
  <si>
    <t>2019-06-01</t>
  </si>
  <si>
    <t>2019-04-30</t>
  </si>
  <si>
    <t>2023-05-24</t>
  </si>
  <si>
    <t>2025-12-20</t>
  </si>
  <si>
    <t>2020-03-06</t>
  </si>
  <si>
    <t>2024-04-25</t>
  </si>
  <si>
    <t>2026-07-28</t>
  </si>
  <si>
    <t>2020-02-12</t>
  </si>
  <si>
    <t>2023-03-13</t>
  </si>
  <si>
    <t>2022-11-22</t>
  </si>
  <si>
    <t>2022-05-23</t>
  </si>
  <si>
    <t>2022-12-30</t>
  </si>
  <si>
    <t>2021-01-24</t>
  </si>
  <si>
    <t>2023-06-22</t>
  </si>
  <si>
    <t>2022-03-23</t>
  </si>
  <si>
    <t>2024-11-28</t>
  </si>
  <si>
    <t>2023-02-21</t>
  </si>
  <si>
    <t>2021-01-23</t>
  </si>
  <si>
    <t>2022-03-08</t>
  </si>
  <si>
    <t>2019-01-27</t>
  </si>
  <si>
    <t>2021-08-06</t>
  </si>
  <si>
    <t>2020-03-26</t>
  </si>
  <si>
    <t>2022-11-02</t>
  </si>
  <si>
    <t>2021-07-31</t>
  </si>
  <si>
    <t>2023-11-02</t>
  </si>
  <si>
    <t>2021-04-20</t>
  </si>
  <si>
    <t>2019-06-09</t>
  </si>
  <si>
    <t>2019-11-07</t>
  </si>
  <si>
    <t>2023-05-01</t>
  </si>
  <si>
    <t>2019-06-22</t>
  </si>
  <si>
    <t>2022-06-29</t>
  </si>
  <si>
    <t>2022-04-12</t>
  </si>
  <si>
    <t>2019-01-23</t>
  </si>
  <si>
    <t>2019-11-25</t>
  </si>
  <si>
    <t>2024-01-23</t>
  </si>
  <si>
    <t>2023-01-09</t>
  </si>
  <si>
    <t>2024-03-03</t>
  </si>
  <si>
    <t>2019-08-10</t>
  </si>
  <si>
    <t>2024-05-09</t>
  </si>
  <si>
    <t>2021-01-28</t>
  </si>
  <si>
    <t>2023-09-07</t>
  </si>
  <si>
    <t>2026-07-23</t>
  </si>
  <si>
    <t>2021-05-12</t>
  </si>
  <si>
    <t>2022-01-17</t>
  </si>
  <si>
    <t>2023-07-19</t>
  </si>
  <si>
    <t>2019-10-20</t>
  </si>
  <si>
    <t>2019-11-16</t>
  </si>
  <si>
    <t>2022-05-05</t>
  </si>
  <si>
    <t>2020-04-29</t>
  </si>
  <si>
    <t>2022-07-05</t>
  </si>
  <si>
    <t>2023-03-30</t>
  </si>
  <si>
    <t>2020-02-15</t>
  </si>
  <si>
    <t>2021-11-23</t>
  </si>
  <si>
    <t>2023-08-05</t>
  </si>
  <si>
    <t>2022-03-26</t>
  </si>
  <si>
    <t>2024-01-28</t>
  </si>
  <si>
    <t>2023-02-13</t>
  </si>
  <si>
    <t>2021-03-21</t>
  </si>
  <si>
    <t>2019-03-08</t>
  </si>
  <si>
    <t>2020-09-04</t>
  </si>
  <si>
    <t>2022-02-01</t>
  </si>
  <si>
    <t>2020-02-21</t>
  </si>
  <si>
    <t>2022-12-02</t>
  </si>
  <si>
    <t>2025-10-15</t>
  </si>
  <si>
    <t>2024-06-11</t>
  </si>
  <si>
    <t>2019-03-06</t>
  </si>
  <si>
    <t>2021-01-11</t>
  </si>
  <si>
    <t>2020-09-12</t>
  </si>
  <si>
    <t>2023-09-18</t>
  </si>
  <si>
    <t>2025-03-14</t>
  </si>
  <si>
    <t>2022-09-21</t>
  </si>
  <si>
    <t>2019-03-18</t>
  </si>
  <si>
    <t>2020-03-29</t>
  </si>
  <si>
    <t>2023-12-06</t>
  </si>
  <si>
    <t>2024-07-10</t>
  </si>
  <si>
    <t>2021-03-01</t>
  </si>
  <si>
    <t>2024-03-23</t>
  </si>
  <si>
    <t>2020-04-07</t>
  </si>
  <si>
    <t>2020-06-23</t>
  </si>
  <si>
    <t>2020-06-25</t>
  </si>
  <si>
    <t>2020-11-08</t>
  </si>
  <si>
    <t>2019-09-10</t>
  </si>
  <si>
    <t>2024-03-02</t>
  </si>
  <si>
    <t>2023-12-25</t>
  </si>
  <si>
    <t>2019-02-05</t>
  </si>
  <si>
    <t>2020-08-16</t>
  </si>
  <si>
    <t>2023-06-21</t>
  </si>
  <si>
    <t>2024-01-22</t>
  </si>
  <si>
    <t>2022-09-05</t>
  </si>
  <si>
    <t>2023-07-23</t>
  </si>
  <si>
    <t>2024-05-31</t>
  </si>
  <si>
    <t>2023-03-31</t>
  </si>
  <si>
    <t>2025-07-04</t>
  </si>
  <si>
    <t>2022-08-28</t>
  </si>
  <si>
    <t>2023-05-29</t>
  </si>
  <si>
    <t>2025-05-22</t>
  </si>
  <si>
    <t>2022-08-04</t>
  </si>
  <si>
    <t>2024-02-02</t>
  </si>
  <si>
    <t>2023-03-18</t>
  </si>
  <si>
    <t>2021-04-28</t>
  </si>
  <si>
    <t>2024-05-16</t>
  </si>
  <si>
    <t>2019-10-12</t>
  </si>
  <si>
    <t>2019-10-11</t>
  </si>
  <si>
    <t>2022-05-22</t>
  </si>
  <si>
    <t>2025-01-28</t>
  </si>
  <si>
    <t>2021-06-21</t>
  </si>
  <si>
    <t>2021-01-27</t>
  </si>
  <si>
    <t>2023-08-30</t>
  </si>
  <si>
    <t>2021-09-20</t>
  </si>
  <si>
    <t>2023-10-01</t>
  </si>
  <si>
    <t>2021-10-30</t>
  </si>
  <si>
    <t>2024-02-08</t>
  </si>
  <si>
    <t>2022-08-31</t>
  </si>
  <si>
    <t>2021-09-04</t>
  </si>
  <si>
    <t>2022-10-30</t>
  </si>
  <si>
    <t>2019-09-11</t>
  </si>
  <si>
    <t>2022-09-13</t>
  </si>
  <si>
    <t>2021-04-19</t>
  </si>
  <si>
    <t>2023-09-30</t>
  </si>
  <si>
    <t>2026-05-09</t>
  </si>
  <si>
    <t>2023-02-15</t>
  </si>
  <si>
    <t>2019-01-16</t>
  </si>
  <si>
    <t>2020-09-17</t>
  </si>
  <si>
    <t>2020-10-12</t>
  </si>
  <si>
    <t>2022-02-14</t>
  </si>
  <si>
    <t>2023-01-27</t>
  </si>
  <si>
    <t>2023-01-07</t>
  </si>
  <si>
    <t>2023-08-13</t>
  </si>
  <si>
    <t>2023-12-20</t>
  </si>
  <si>
    <t>2020-05-21</t>
  </si>
  <si>
    <t>2021-10-21</t>
  </si>
  <si>
    <t>2019-04-12</t>
  </si>
  <si>
    <t>2021-11-28</t>
  </si>
  <si>
    <t>2022-08-26</t>
  </si>
  <si>
    <t>2022-08-09</t>
  </si>
  <si>
    <t>2020-10-30</t>
  </si>
  <si>
    <t>2021-01-10</t>
  </si>
  <si>
    <t>2019-04-22</t>
  </si>
  <si>
    <t>2019-08-04</t>
  </si>
  <si>
    <t>2021-08-07</t>
  </si>
  <si>
    <t>2021-01-02</t>
  </si>
  <si>
    <t>2022-01-30</t>
  </si>
  <si>
    <t>2020-10-05</t>
  </si>
  <si>
    <t>2023-02-28</t>
  </si>
  <si>
    <t>2023-04-16</t>
  </si>
  <si>
    <t>2023-09-17</t>
  </si>
  <si>
    <t>2021-05-17</t>
  </si>
  <si>
    <t>2021-04-07</t>
  </si>
  <si>
    <t>2024-04-17</t>
  </si>
  <si>
    <t>2027-04-04</t>
  </si>
  <si>
    <t>2024-02-16</t>
  </si>
  <si>
    <t>2026-12-04</t>
  </si>
  <si>
    <t>2019-04-04</t>
  </si>
  <si>
    <t>2019-01-02</t>
  </si>
  <si>
    <t>2021-02-03</t>
  </si>
  <si>
    <t>2019-03-02</t>
  </si>
  <si>
    <t>2019-07-05</t>
  </si>
  <si>
    <t>2022-12-20</t>
  </si>
  <si>
    <t>2023-11-04</t>
  </si>
  <si>
    <t>2026-10-10</t>
  </si>
  <si>
    <t>2020-04-23</t>
  </si>
  <si>
    <t>2020-01-16</t>
  </si>
  <si>
    <t>2023-01-28</t>
  </si>
  <si>
    <t>2025-11-04</t>
  </si>
  <si>
    <t>2023-02-19</t>
  </si>
  <si>
    <t>2023-05-04</t>
  </si>
  <si>
    <t>2019-09-15</t>
  </si>
  <si>
    <t>2021-09-30</t>
  </si>
  <si>
    <t>2023-08-21</t>
  </si>
  <si>
    <t>2022-08-25</t>
  </si>
  <si>
    <t>2023-11-24</t>
  </si>
  <si>
    <t>2024-06-09</t>
  </si>
  <si>
    <t>2021-09-13</t>
  </si>
  <si>
    <t>2021-02-01</t>
  </si>
  <si>
    <t>2019-06-27</t>
  </si>
  <si>
    <t>2021-11-19</t>
  </si>
  <si>
    <t>2019-08-14</t>
  </si>
  <si>
    <t>2020-09-25</t>
  </si>
  <si>
    <t>2023-06-03</t>
  </si>
  <si>
    <t>2021-08-19</t>
  </si>
  <si>
    <t>2023-04-27</t>
  </si>
  <si>
    <t>2022-04-07</t>
  </si>
  <si>
    <t>2020-07-21</t>
  </si>
  <si>
    <t>2025-02-01</t>
  </si>
  <si>
    <t>2020-11-27</t>
  </si>
  <si>
    <t>2021-09-18</t>
  </si>
  <si>
    <t>2021-05-09</t>
  </si>
  <si>
    <t>2020-05-09</t>
  </si>
  <si>
    <t>2021-05-16</t>
  </si>
  <si>
    <t>2021-07-27</t>
  </si>
  <si>
    <t>2020-05-28</t>
  </si>
  <si>
    <t>2021-09-26</t>
  </si>
  <si>
    <t>2020-08-25</t>
  </si>
  <si>
    <t>2019-11-21</t>
  </si>
  <si>
    <t>2020-08-31</t>
  </si>
  <si>
    <t>2022-06-14</t>
  </si>
  <si>
    <t>2020-08-26</t>
  </si>
  <si>
    <t>2024-03-16</t>
  </si>
  <si>
    <t>2022-02-17</t>
  </si>
  <si>
    <t>2019-05-10</t>
  </si>
  <si>
    <t>2021-04-16</t>
  </si>
  <si>
    <t>2021-10-13</t>
  </si>
  <si>
    <t>2022-03-24</t>
  </si>
  <si>
    <t>2024-06-23</t>
  </si>
  <si>
    <t>2023-08-10</t>
  </si>
  <si>
    <t>2024-02-27</t>
  </si>
  <si>
    <t>2027-01-19</t>
  </si>
  <si>
    <t>2020-02-22</t>
  </si>
  <si>
    <t>2021-04-23</t>
  </si>
  <si>
    <t>2019-10-21</t>
  </si>
  <si>
    <t>2021-05-03</t>
  </si>
  <si>
    <t>2021-11-18</t>
  </si>
  <si>
    <t>2024-05-26</t>
  </si>
  <si>
    <t>2019-11-14</t>
  </si>
  <si>
    <t>2020-07-01</t>
  </si>
  <si>
    <t>2019-09-27</t>
  </si>
  <si>
    <t>2020-11-18</t>
  </si>
  <si>
    <t>2020-10-06</t>
  </si>
  <si>
    <t>2022-10-03</t>
  </si>
  <si>
    <t>2019-10-03</t>
  </si>
  <si>
    <t>2020-12-14</t>
  </si>
  <si>
    <t>2024-01-15</t>
  </si>
  <si>
    <t>2020-07-17</t>
  </si>
  <si>
    <t>2021-11-06</t>
  </si>
  <si>
    <t>2023-12-15</t>
  </si>
  <si>
    <t>2019-05-22</t>
  </si>
  <si>
    <t>2022-04-25</t>
  </si>
  <si>
    <t>2024-06-16</t>
  </si>
  <si>
    <t>2019-01-03</t>
  </si>
  <si>
    <t>2021-03-17</t>
  </si>
  <si>
    <t>2021-02-06</t>
  </si>
  <si>
    <t>2022-06-27</t>
  </si>
  <si>
    <t>2019-05-11</t>
  </si>
  <si>
    <t>2019-03-12</t>
  </si>
  <si>
    <t>2019-10-01</t>
  </si>
  <si>
    <t>2022-11-06</t>
  </si>
  <si>
    <t>2019-01-26</t>
  </si>
  <si>
    <t>2024-06-15</t>
  </si>
  <si>
    <t>2021-10-29</t>
  </si>
  <si>
    <t>2024-01-08</t>
  </si>
  <si>
    <t>2021-06-02</t>
  </si>
  <si>
    <t>2022-09-07</t>
  </si>
  <si>
    <t>2023-04-03</t>
  </si>
  <si>
    <t>2022-04-19</t>
  </si>
  <si>
    <t>2021-06-06</t>
  </si>
  <si>
    <t>2024-04-01</t>
  </si>
  <si>
    <t>2019-07-30</t>
  </si>
  <si>
    <t>2023-12-02</t>
  </si>
  <si>
    <t>2020-10-26</t>
  </si>
  <si>
    <t>2023-08-02</t>
  </si>
  <si>
    <t>2023-11-17</t>
  </si>
  <si>
    <t>2025-03-18</t>
  </si>
  <si>
    <t>2020-11-04</t>
  </si>
  <si>
    <t>Attrition_Flag</t>
  </si>
  <si>
    <t>Age_group</t>
  </si>
  <si>
    <t>Total Employees</t>
  </si>
  <si>
    <t>Active Employees</t>
  </si>
  <si>
    <t>Active_Flag</t>
  </si>
  <si>
    <t>Sum of Active_Flag</t>
  </si>
  <si>
    <t>Average age</t>
  </si>
  <si>
    <t>Average of Age</t>
  </si>
  <si>
    <t>Attrited Employees</t>
  </si>
  <si>
    <t>Sum of Attrition_Flag</t>
  </si>
  <si>
    <t>Attrition Rate</t>
  </si>
  <si>
    <t>Count of Employee_ID</t>
  </si>
  <si>
    <t>employee count</t>
  </si>
  <si>
    <t>Average performance rating</t>
  </si>
  <si>
    <t>Average of Performance_Rating</t>
  </si>
  <si>
    <t>Average attendance %</t>
  </si>
  <si>
    <t>Average of Attendance_%</t>
  </si>
  <si>
    <t>Average of Training_Hours</t>
  </si>
  <si>
    <t>Average Training Hours</t>
  </si>
  <si>
    <t>Employees by department</t>
  </si>
  <si>
    <t>Row Labels</t>
  </si>
  <si>
    <t>Grand Total</t>
  </si>
  <si>
    <t>22-35</t>
  </si>
  <si>
    <t>46-55</t>
  </si>
  <si>
    <t>36-45</t>
  </si>
  <si>
    <t>Employees by gender</t>
  </si>
  <si>
    <t>Employees by age group</t>
  </si>
  <si>
    <t>Tenure</t>
  </si>
  <si>
    <t>Average Tenure</t>
  </si>
  <si>
    <t>Average of Tenure</t>
  </si>
  <si>
    <t>Average Tenure for Attrited</t>
  </si>
  <si>
    <t>Average Tenure_Attrited</t>
  </si>
  <si>
    <t>tenure_group</t>
  </si>
  <si>
    <t>Attrition by tenure</t>
  </si>
  <si>
    <t>0-1</t>
  </si>
  <si>
    <t>1-3</t>
  </si>
  <si>
    <t>3-5</t>
  </si>
  <si>
    <t>5-8</t>
  </si>
  <si>
    <t>Attrition by Department</t>
  </si>
  <si>
    <t>Salary band</t>
  </si>
  <si>
    <t>High (801k - 1.2m)</t>
  </si>
  <si>
    <t>Low (180k-500k)</t>
  </si>
  <si>
    <t>Medium (501k-800k)</t>
  </si>
  <si>
    <t>Attrition by Salary Band</t>
  </si>
  <si>
    <t>Performance by Department</t>
  </si>
  <si>
    <t>Training Vs Performance</t>
  </si>
  <si>
    <t>Attendance vs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</si>
</sst>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3" tint="0.7999816888943144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1">
    <xf numFmtId="0" fontId="0" fillId="0" borderId="0" xfId="0"/>
    <xf numFmtId="0" fontId="1" fillId="0" borderId="0" xfId="0" applyFont="1"/>
    <xf numFmtId="1" fontId="0" fillId="0" borderId="0" xfId="0" applyNumberFormat="1"/>
    <xf numFmtId="0" fontId="1" fillId="2" borderId="1" xfId="0" applyFont="1" applyFill="1" applyBorder="1"/>
    <xf numFmtId="2" fontId="0" fillId="0" borderId="0" xfId="0" applyNumberFormat="1"/>
    <xf numFmtId="0" fontId="0" fillId="0" borderId="0" xfId="0" pivotButton="1"/>
    <xf numFmtId="164" fontId="0" fillId="0" borderId="0" xfId="0" applyNumberFormat="1"/>
    <xf numFmtId="0" fontId="0" fillId="0" borderId="0" xfId="0" applyAlignment="1">
      <alignment horizontal="left"/>
    </xf>
    <xf numFmtId="0" fontId="1" fillId="0" borderId="0" xfId="0" applyFont="1" applyAlignment="1">
      <alignment horizontal="left"/>
    </xf>
    <xf numFmtId="0" fontId="0" fillId="3" borderId="0" xfId="0" applyFill="1"/>
    <xf numFmtId="9" fontId="0" fillId="0" borderId="0" xfId="0" applyNumberFormat="1"/>
  </cellXfs>
  <cellStyles count="1">
    <cellStyle name="Normal" xfId="0" builtinId="0"/>
  </cellStyles>
  <dxfs count="47">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64" formatCode="0.0"/>
    </dxf>
    <dxf>
      <numFmt numFmtId="2" formatCode="0.00"/>
    </dxf>
    <dxf>
      <numFmt numFmtId="1" formatCode="0"/>
    </dxf>
    <dxf>
      <numFmt numFmtId="13" formatCode="0%"/>
    </dxf>
    <dxf>
      <numFmt numFmtId="2" formatCode="0.00"/>
    </dxf>
    <dxf>
      <numFmt numFmtId="1" formatCode="0"/>
    </dxf>
    <dxf>
      <numFmt numFmtId="1" formatCode="0"/>
    </dxf>
    <dxf>
      <numFmt numFmtId="1" formatCode="0"/>
    </dxf>
    <dxf>
      <numFmt numFmtId="164" formatCode="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0" formatCode="General"/>
    </dxf>
    <dxf>
      <numFmt numFmtId="0" formatCode="General"/>
    </dxf>
    <dxf>
      <numFmt numFmtId="164" formatCode="0.0"/>
    </dxf>
    <dxf>
      <numFmt numFmtId="0" formatCode="General"/>
    </dxf>
    <dxf>
      <numFmt numFmtId="0" formatCode="General"/>
    </dxf>
    <dxf>
      <numFmt numFmtId="0" formatCode="General"/>
    </dxf>
    <dxf>
      <numFmt numFmtId="0" formatCode="General"/>
    </dxf>
  </dxfs>
  <tableStyles count="1" defaultTableStyle="TableStyleMedium9" defaultPivotStyle="PivotStyleLight16">
    <tableStyle name="Invisible" pivot="0" table="0" count="0" xr9:uid="{5A4B60E2-591C-48BC-9233-3E976A68314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1.xml"/><Relationship Id="rId21" Type="http://schemas.openxmlformats.org/officeDocument/2006/relationships/pivotCacheDefinition" Target="pivotCache/pivotCacheDefinition16.xml"/><Relationship Id="rId34" Type="http://schemas.microsoft.com/office/2007/relationships/slicerCache" Target="slicerCaches/slicerCache6.xml"/><Relationship Id="rId42" Type="http://schemas.openxmlformats.org/officeDocument/2006/relationships/sheetMetadata" Target="metadata.xml"/><Relationship Id="rId47" Type="http://schemas.openxmlformats.org/officeDocument/2006/relationships/customXml" Target="../customXml/item2.xml"/><Relationship Id="rId50" Type="http://schemas.openxmlformats.org/officeDocument/2006/relationships/customXml" Target="../customXml/item5.xml"/><Relationship Id="rId55" Type="http://schemas.openxmlformats.org/officeDocument/2006/relationships/customXml" Target="../customXml/item10.xml"/><Relationship Id="rId63" Type="http://schemas.openxmlformats.org/officeDocument/2006/relationships/customXml" Target="../customXml/item18.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microsoft.com/office/2007/relationships/slicerCache" Target="slicerCaches/slicerCache1.xml"/><Relationship Id="rId11" Type="http://schemas.openxmlformats.org/officeDocument/2006/relationships/pivotCacheDefinition" Target="pivotCache/pivotCacheDefinition6.xml"/><Relationship Id="rId24" Type="http://schemas.openxmlformats.org/officeDocument/2006/relationships/pivotCacheDefinition" Target="pivotCache/pivotCacheDefinition19.xml"/><Relationship Id="rId32" Type="http://schemas.microsoft.com/office/2007/relationships/slicerCache" Target="slicerCaches/slicerCache4.xml"/><Relationship Id="rId37" Type="http://schemas.microsoft.com/office/2007/relationships/slicerCache" Target="slicerCaches/slicerCache9.xml"/><Relationship Id="rId40" Type="http://schemas.openxmlformats.org/officeDocument/2006/relationships/styles" Target="styles.xml"/><Relationship Id="rId45" Type="http://schemas.openxmlformats.org/officeDocument/2006/relationships/calcChain" Target="calcChain.xml"/><Relationship Id="rId53" Type="http://schemas.openxmlformats.org/officeDocument/2006/relationships/customXml" Target="../customXml/item8.xml"/><Relationship Id="rId58" Type="http://schemas.openxmlformats.org/officeDocument/2006/relationships/customXml" Target="../customXml/item13.xml"/><Relationship Id="rId66" Type="http://schemas.openxmlformats.org/officeDocument/2006/relationships/customXml" Target="../customXml/item21.xml"/><Relationship Id="rId5" Type="http://schemas.openxmlformats.org/officeDocument/2006/relationships/worksheet" Target="worksheets/sheet5.xml"/><Relationship Id="rId61" Type="http://schemas.openxmlformats.org/officeDocument/2006/relationships/customXml" Target="../customXml/item16.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openxmlformats.org/officeDocument/2006/relationships/pivotCacheDefinition" Target="pivotCache/pivotCacheDefinition22.xml"/><Relationship Id="rId30" Type="http://schemas.microsoft.com/office/2007/relationships/slicerCache" Target="slicerCaches/slicerCache2.xml"/><Relationship Id="rId35" Type="http://schemas.microsoft.com/office/2007/relationships/slicerCache" Target="slicerCaches/slicerCache7.xml"/><Relationship Id="rId43" Type="http://schemas.openxmlformats.org/officeDocument/2006/relationships/powerPivotData" Target="model/item.data"/><Relationship Id="rId48" Type="http://schemas.openxmlformats.org/officeDocument/2006/relationships/customXml" Target="../customXml/item3.xml"/><Relationship Id="rId56" Type="http://schemas.openxmlformats.org/officeDocument/2006/relationships/customXml" Target="../customXml/item11.xml"/><Relationship Id="rId64" Type="http://schemas.openxmlformats.org/officeDocument/2006/relationships/customXml" Target="../customXml/item19.xml"/><Relationship Id="rId8" Type="http://schemas.openxmlformats.org/officeDocument/2006/relationships/pivotCacheDefinition" Target="pivotCache/pivotCacheDefinition3.xml"/><Relationship Id="rId51" Type="http://schemas.openxmlformats.org/officeDocument/2006/relationships/customXml" Target="../customXml/item6.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ivotCacheDefinition" Target="pivotCache/pivotCacheDefinition20.xml"/><Relationship Id="rId33" Type="http://schemas.microsoft.com/office/2007/relationships/slicerCache" Target="slicerCaches/slicerCache5.xml"/><Relationship Id="rId38" Type="http://schemas.openxmlformats.org/officeDocument/2006/relationships/theme" Target="theme/theme1.xml"/><Relationship Id="rId46" Type="http://schemas.openxmlformats.org/officeDocument/2006/relationships/customXml" Target="../customXml/item1.xml"/><Relationship Id="rId59" Type="http://schemas.openxmlformats.org/officeDocument/2006/relationships/customXml" Target="../customXml/item14.xml"/><Relationship Id="rId20" Type="http://schemas.openxmlformats.org/officeDocument/2006/relationships/pivotCacheDefinition" Target="pivotCache/pivotCacheDefinition15.xml"/><Relationship Id="rId41" Type="http://schemas.openxmlformats.org/officeDocument/2006/relationships/sharedStrings" Target="sharedStrings.xml"/><Relationship Id="rId54" Type="http://schemas.openxmlformats.org/officeDocument/2006/relationships/customXml" Target="../customXml/item9.xml"/><Relationship Id="rId62"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openxmlformats.org/officeDocument/2006/relationships/pivotCacheDefinition" Target="pivotCache/pivotCacheDefinition23.xml"/><Relationship Id="rId36" Type="http://schemas.microsoft.com/office/2007/relationships/slicerCache" Target="slicerCaches/slicerCache8.xml"/><Relationship Id="rId49" Type="http://schemas.openxmlformats.org/officeDocument/2006/relationships/customXml" Target="../customXml/item4.xml"/><Relationship Id="rId57" Type="http://schemas.openxmlformats.org/officeDocument/2006/relationships/customXml" Target="../customXml/item12.xml"/><Relationship Id="rId10" Type="http://schemas.openxmlformats.org/officeDocument/2006/relationships/pivotCacheDefinition" Target="pivotCache/pivotCacheDefinition5.xml"/><Relationship Id="rId31" Type="http://schemas.microsoft.com/office/2007/relationships/slicerCache" Target="slicerCaches/slicerCache3.xml"/><Relationship Id="rId44" Type="http://schemas.microsoft.com/office/2017/10/relationships/person" Target="persons/person.xml"/><Relationship Id="rId52" Type="http://schemas.openxmlformats.org/officeDocument/2006/relationships/customXml" Target="../customXml/item7.xml"/><Relationship Id="rId60" Type="http://schemas.openxmlformats.org/officeDocument/2006/relationships/customXml" Target="../customXml/item15.xml"/><Relationship Id="rId65"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connections" Target="connection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[HR_Dataset.xlsx]Pivot_Engine!PivotTable9</c:name>
    <c:fmtId val="5"/>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Employees by Department</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marker>
          <c:symbol val="none"/>
        </c:marker>
        <c:dLbl>
          <c:idx val="0"/>
          <c:spPr>
            <a:noFill/>
            <a:ln>
              <a:noFill/>
            </a:ln>
            <a:effectLst/>
          </c:spPr>
          <c:txPr>
            <a:bodyPr wrap="square" lIns="38100" tIns="19050" rIns="38100" bIns="19050" anchor="ctr">
              <a:spAutoFit/>
            </a:bodyPr>
            <a:lstStyle/>
            <a:p>
              <a:pPr>
                <a:defRPr sz="1600"/>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1"/>
          <c:order val="0"/>
          <c:tx>
            <c:strRef>
              <c:f>Pivot_Engine!$B$10</c:f>
              <c:strCache>
                <c:ptCount val="1"/>
                <c:pt idx="0">
                  <c:v>Total</c:v>
                </c:pt>
              </c:strCache>
            </c:strRef>
          </c:tx>
          <c:invertIfNegative val="0"/>
          <c:dLbls>
            <c:spPr>
              <a:noFill/>
              <a:ln>
                <a:noFill/>
              </a:ln>
              <a:effectLst/>
            </c:spPr>
            <c:txPr>
              <a:bodyPr wrap="square" lIns="38100" tIns="19050" rIns="38100" bIns="19050" anchor="ctr">
                <a:spAutoFit/>
              </a:bodyPr>
              <a:lstStyle/>
              <a:p>
                <a:pPr>
                  <a:defRPr sz="1600"/>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Pivot_Engine!$A$11:$A$16</c:f>
              <c:strCache>
                <c:ptCount val="5"/>
                <c:pt idx="0">
                  <c:v>Tech</c:v>
                </c:pt>
                <c:pt idx="1">
                  <c:v>Sales</c:v>
                </c:pt>
                <c:pt idx="2">
                  <c:v>Finance</c:v>
                </c:pt>
                <c:pt idx="3">
                  <c:v>HR</c:v>
                </c:pt>
                <c:pt idx="4">
                  <c:v>Operations</c:v>
                </c:pt>
              </c:strCache>
            </c:strRef>
          </c:cat>
          <c:val>
            <c:numRef>
              <c:f>Pivot_Engine!$B$11:$B$16</c:f>
              <c:numCache>
                <c:formatCode>0</c:formatCode>
                <c:ptCount val="5"/>
                <c:pt idx="0">
                  <c:v>229</c:v>
                </c:pt>
                <c:pt idx="1">
                  <c:v>124</c:v>
                </c:pt>
                <c:pt idx="2">
                  <c:v>55</c:v>
                </c:pt>
                <c:pt idx="3">
                  <c:v>48</c:v>
                </c:pt>
                <c:pt idx="4">
                  <c:v>44</c:v>
                </c:pt>
              </c:numCache>
            </c:numRef>
          </c:val>
          <c:extLst>
            <c:ext xmlns:c16="http://schemas.microsoft.com/office/drawing/2014/chart" uri="{C3380CC4-5D6E-409C-BE32-E72D297353CC}">
              <c16:uniqueId val="{00000004-96A2-4900-9596-D018D85C9E4B}"/>
            </c:ext>
          </c:extLst>
        </c:ser>
        <c:dLbls>
          <c:dLblPos val="outEnd"/>
          <c:showLegendKey val="0"/>
          <c:showVal val="1"/>
          <c:showCatName val="0"/>
          <c:showSerName val="0"/>
          <c:showPercent val="0"/>
          <c:showBubbleSize val="0"/>
        </c:dLbls>
        <c:gapWidth val="182"/>
        <c:axId val="40750127"/>
        <c:axId val="40748687"/>
      </c:barChart>
      <c:catAx>
        <c:axId val="40750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40748687"/>
        <c:crosses val="autoZero"/>
        <c:auto val="1"/>
        <c:lblAlgn val="ctr"/>
        <c:lblOffset val="100"/>
        <c:noMultiLvlLbl val="0"/>
      </c:catAx>
      <c:valAx>
        <c:axId val="4074868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40750127"/>
        <c:crosses val="autoZero"/>
        <c:crossBetween val="between"/>
      </c:valAx>
      <c:spPr>
        <a:solidFill>
          <a:schemeClr val="bg1">
            <a:lumMod val="95000"/>
          </a:schemeClr>
        </a:solidFill>
      </c:spPr>
    </c:plotArea>
    <c:plotVisOnly val="1"/>
    <c:dispBlanksAs val="gap"/>
    <c:showDLblsOverMax val="0"/>
    <c:extLst/>
  </c:chart>
  <c:spPr>
    <a:solidFill>
      <a:schemeClr val="bg1">
        <a:lumMod val="95000"/>
      </a:schemeClr>
    </a:solid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[HR_Dataset.xlsx]Pivot_Engine!PivotTable10</c:name>
    <c:fmtId val="5"/>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a:t>Employees by Gender</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Pivot_Engine!$B$19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96-48ED-AD77-18C870587E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96-48ED-AD77-18C870587E2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Pivot_Engine!$A$20:$A$22</c:f>
              <c:strCache>
                <c:ptCount val="2"/>
                <c:pt idx="0">
                  <c:v>Female</c:v>
                </c:pt>
                <c:pt idx="1">
                  <c:v>Male</c:v>
                </c:pt>
              </c:strCache>
            </c:strRef>
          </c:cat>
          <c:val>
            <c:numRef>
              <c:f>Pivot_Engine!$B$20:$B$22</c:f>
              <c:numCache>
                <c:formatCode>0</c:formatCode>
                <c:ptCount val="2"/>
                <c:pt idx="0">
                  <c:v>231</c:v>
                </c:pt>
                <c:pt idx="1">
                  <c:v>269</c:v>
                </c:pt>
              </c:numCache>
            </c:numRef>
          </c:val>
          <c:extLst>
            <c:ext xmlns:c16="http://schemas.microsoft.com/office/drawing/2014/chart" uri="{C3380CC4-5D6E-409C-BE32-E72D297353CC}">
              <c16:uniqueId val="{00000004-8596-48ED-AD77-18C870587E2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[HR_Dataset.xlsx]Pivot_Engine!PivotTable11</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Age Group Distribution</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Pivot_Engine!$B$25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Pivot_Engine!$A$26:$A$29</c:f>
              <c:strCache>
                <c:ptCount val="3"/>
                <c:pt idx="0">
                  <c:v>22-35</c:v>
                </c:pt>
                <c:pt idx="1">
                  <c:v>36-45</c:v>
                </c:pt>
                <c:pt idx="2">
                  <c:v>46-55</c:v>
                </c:pt>
              </c:strCache>
            </c:strRef>
          </c:cat>
          <c:val>
            <c:numRef>
              <c:f>Pivot_Engine!$B$26:$B$29</c:f>
              <c:numCache>
                <c:formatCode>0</c:formatCode>
                <c:ptCount val="3"/>
                <c:pt idx="0">
                  <c:v>207</c:v>
                </c:pt>
                <c:pt idx="1">
                  <c:v>139</c:v>
                </c:pt>
                <c:pt idx="2">
                  <c:v>154</c:v>
                </c:pt>
              </c:numCache>
            </c:numRef>
          </c:val>
          <c:extLst>
            <c:ext xmlns:c16="http://schemas.microsoft.com/office/drawing/2014/chart" uri="{C3380CC4-5D6E-409C-BE32-E72D297353CC}">
              <c16:uniqueId val="{00000000-6332-48E0-B7CF-B545F4189DAB}"/>
            </c:ext>
          </c:extLst>
        </c:ser>
        <c:dLbls>
          <c:dLblPos val="outEnd"/>
          <c:showLegendKey val="0"/>
          <c:showVal val="1"/>
          <c:showCatName val="0"/>
          <c:showSerName val="0"/>
          <c:showPercent val="0"/>
          <c:showBubbleSize val="0"/>
        </c:dLbls>
        <c:gapWidth val="219"/>
        <c:overlap val="-27"/>
        <c:axId val="555705487"/>
        <c:axId val="555711247"/>
      </c:barChart>
      <c:catAx>
        <c:axId val="55570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555711247"/>
        <c:crosses val="autoZero"/>
        <c:auto val="1"/>
        <c:lblAlgn val="ctr"/>
        <c:lblOffset val="100"/>
        <c:noMultiLvlLbl val="0"/>
      </c:catAx>
      <c:valAx>
        <c:axId val="55571124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55570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[HR_Dataset.xlsx]Pivot_Engine!PivotTable15</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Attrition By Departme</a:t>
            </a:r>
            <a:r>
              <a:rPr lang="en-US" sz="1800" b="1" baseline="0"/>
              <a:t>nt</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Pivot_Engine!$E$18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Pivot_Engine!$D$19:$D$24</c:f>
              <c:strCache>
                <c:ptCount val="5"/>
                <c:pt idx="0">
                  <c:v>Sales</c:v>
                </c:pt>
                <c:pt idx="1">
                  <c:v>Tech</c:v>
                </c:pt>
                <c:pt idx="2">
                  <c:v>Finance</c:v>
                </c:pt>
                <c:pt idx="3">
                  <c:v>HR</c:v>
                </c:pt>
                <c:pt idx="4">
                  <c:v>Operations</c:v>
                </c:pt>
              </c:strCache>
            </c:strRef>
          </c:cat>
          <c:val>
            <c:numRef>
              <c:f>Pivot_Engine!$E$19:$E$24</c:f>
              <c:numCache>
                <c:formatCode>0</c:formatCode>
                <c:ptCount val="5"/>
                <c:pt idx="0">
                  <c:v>39</c:v>
                </c:pt>
                <c:pt idx="1">
                  <c:v>28</c:v>
                </c:pt>
                <c:pt idx="2">
                  <c:v>6</c:v>
                </c:pt>
                <c:pt idx="3">
                  <c:v>5</c:v>
                </c:pt>
                <c:pt idx="4">
                  <c:v>4</c:v>
                </c:pt>
              </c:numCache>
            </c:numRef>
          </c:val>
          <c:extLst>
            <c:ext xmlns:c16="http://schemas.microsoft.com/office/drawing/2014/chart" uri="{C3380CC4-5D6E-409C-BE32-E72D297353CC}">
              <c16:uniqueId val="{00000000-E198-4AFE-AD80-D932381E6468}"/>
            </c:ext>
          </c:extLst>
        </c:ser>
        <c:dLbls>
          <c:dLblPos val="outEnd"/>
          <c:showLegendKey val="0"/>
          <c:showVal val="1"/>
          <c:showCatName val="0"/>
          <c:showSerName val="0"/>
          <c:showPercent val="0"/>
          <c:showBubbleSize val="0"/>
        </c:dLbls>
        <c:gapWidth val="219"/>
        <c:overlap val="-27"/>
        <c:axId val="565474591"/>
        <c:axId val="565476511"/>
      </c:barChart>
      <c:catAx>
        <c:axId val="565474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565476511"/>
        <c:crosses val="autoZero"/>
        <c:auto val="1"/>
        <c:lblAlgn val="ctr"/>
        <c:lblOffset val="100"/>
        <c:noMultiLvlLbl val="0"/>
      </c:catAx>
      <c:valAx>
        <c:axId val="565476511"/>
        <c:scaling>
          <c:orientation val="minMax"/>
        </c:scaling>
        <c:delete val="1"/>
        <c:axPos val="l"/>
        <c:numFmt formatCode="0" sourceLinked="1"/>
        <c:majorTickMark val="none"/>
        <c:minorTickMark val="none"/>
        <c:tickLblPos val="nextTo"/>
        <c:crossAx val="56547459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[HR_Dataset.xlsx]Pivot_Engine!PivotTable16</c:name>
    <c:fmtId val="5"/>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GB" sz="1800" b="1"/>
              <a:t>Attrition By Salary Band</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Pivot_Engine!$E$27</c:f>
              <c:strCache>
                <c:ptCount val="1"/>
                <c:pt idx="0">
                  <c:v>Total</c:v>
                </c:pt>
              </c:strCache>
            </c:strRef>
          </c:tx>
          <c:spPr>
            <a:solidFill>
              <a:schemeClr val="accent1"/>
            </a:solidFill>
            <a:ln>
              <a:noFill/>
            </a:ln>
            <a:effectLst/>
          </c:spPr>
          <c:invertIfNegative val="0"/>
          <c:cat>
            <c:strRef>
              <c:f>Pivot_Engine!$D$28:$D$31</c:f>
              <c:strCache>
                <c:ptCount val="3"/>
                <c:pt idx="0">
                  <c:v>Low (180k-500k)</c:v>
                </c:pt>
                <c:pt idx="1">
                  <c:v>Medium (501k-800k)</c:v>
                </c:pt>
                <c:pt idx="2">
                  <c:v>High (801k - 1.2m)</c:v>
                </c:pt>
              </c:strCache>
            </c:strRef>
          </c:cat>
          <c:val>
            <c:numRef>
              <c:f>Pivot_Engine!$E$28:$E$31</c:f>
              <c:numCache>
                <c:formatCode>0</c:formatCode>
                <c:ptCount val="3"/>
                <c:pt idx="0">
                  <c:v>35</c:v>
                </c:pt>
                <c:pt idx="1">
                  <c:v>31</c:v>
                </c:pt>
                <c:pt idx="2">
                  <c:v>16</c:v>
                </c:pt>
              </c:numCache>
            </c:numRef>
          </c:val>
          <c:extLst>
            <c:ext xmlns:c16="http://schemas.microsoft.com/office/drawing/2014/chart" uri="{C3380CC4-5D6E-409C-BE32-E72D297353CC}">
              <c16:uniqueId val="{00000000-D32A-4047-B9C7-971A63A8442B}"/>
            </c:ext>
          </c:extLst>
        </c:ser>
        <c:dLbls>
          <c:showLegendKey val="0"/>
          <c:showVal val="0"/>
          <c:showCatName val="0"/>
          <c:showSerName val="0"/>
          <c:showPercent val="0"/>
          <c:showBubbleSize val="0"/>
        </c:dLbls>
        <c:gapWidth val="219"/>
        <c:overlap val="-27"/>
        <c:axId val="858893279"/>
        <c:axId val="858890879"/>
      </c:barChart>
      <c:catAx>
        <c:axId val="85889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858890879"/>
        <c:crosses val="autoZero"/>
        <c:auto val="1"/>
        <c:lblAlgn val="ctr"/>
        <c:lblOffset val="100"/>
        <c:noMultiLvlLbl val="0"/>
      </c:catAx>
      <c:valAx>
        <c:axId val="85889087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858893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[HR_Dataset.xlsx]Pivot_Engine!PivotTable14</c:name>
    <c:fmtId val="3"/>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US" sz="2400" b="1"/>
              <a:t>Attrition</a:t>
            </a:r>
            <a:r>
              <a:rPr lang="en-US" sz="2400" b="1" baseline="0"/>
              <a:t> By Tenure</a:t>
            </a:r>
            <a:endParaRPr lang="en-US" sz="2400" b="1"/>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Pivot_Engine!$E$10</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Pivot_Engine!$D$11:$D$15</c:f>
              <c:strCache>
                <c:ptCount val="4"/>
                <c:pt idx="0">
                  <c:v>0-1</c:v>
                </c:pt>
                <c:pt idx="1">
                  <c:v>1-3</c:v>
                </c:pt>
                <c:pt idx="2">
                  <c:v>3-5</c:v>
                </c:pt>
                <c:pt idx="3">
                  <c:v>5-8</c:v>
                </c:pt>
              </c:strCache>
            </c:strRef>
          </c:cat>
          <c:val>
            <c:numRef>
              <c:f>Pivot_Engine!$E$11:$E$15</c:f>
              <c:numCache>
                <c:formatCode>0</c:formatCode>
                <c:ptCount val="4"/>
                <c:pt idx="0">
                  <c:v>9</c:v>
                </c:pt>
                <c:pt idx="1">
                  <c:v>65</c:v>
                </c:pt>
                <c:pt idx="2">
                  <c:v>8</c:v>
                </c:pt>
                <c:pt idx="3">
                  <c:v>0</c:v>
                </c:pt>
              </c:numCache>
            </c:numRef>
          </c:val>
          <c:smooth val="0"/>
          <c:extLst>
            <c:ext xmlns:c16="http://schemas.microsoft.com/office/drawing/2014/chart" uri="{C3380CC4-5D6E-409C-BE32-E72D297353CC}">
              <c16:uniqueId val="{00000000-8C74-47EF-BE56-0642F81ACF75}"/>
            </c:ext>
          </c:extLst>
        </c:ser>
        <c:dLbls>
          <c:dLblPos val="t"/>
          <c:showLegendKey val="0"/>
          <c:showVal val="1"/>
          <c:showCatName val="0"/>
          <c:showSerName val="0"/>
          <c:showPercent val="0"/>
          <c:showBubbleSize val="0"/>
        </c:dLbls>
        <c:smooth val="0"/>
        <c:axId val="40751087"/>
        <c:axId val="40751567"/>
      </c:lineChart>
      <c:catAx>
        <c:axId val="4075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40751567"/>
        <c:crosses val="autoZero"/>
        <c:auto val="1"/>
        <c:lblAlgn val="ctr"/>
        <c:lblOffset val="100"/>
        <c:noMultiLvlLbl val="0"/>
      </c:catAx>
      <c:valAx>
        <c:axId val="4075156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4075108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t>Performance Vs Attendance</a:t>
            </a:r>
            <a:r>
              <a:rPr lang="en-US" sz="1800" b="1" baseline="0"/>
              <a:t> Trend</a:t>
            </a:r>
            <a:endParaRPr lang="en-US" sz="1800" b="1"/>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Pivot_Engine!$H$43</c:f>
              <c:strCache>
                <c:ptCount val="1"/>
                <c:pt idx="0">
                  <c:v>Average of Performance_Rating</c:v>
                </c:pt>
              </c:strCache>
            </c:strRef>
          </c:tx>
          <c:spPr>
            <a:ln w="28575" cap="rnd">
              <a:noFill/>
              <a:round/>
            </a:ln>
            <a:effectLst/>
          </c:spPr>
          <c:marker>
            <c:symbol val="circle"/>
            <c:size val="5"/>
            <c:spPr>
              <a:solidFill>
                <a:schemeClr val="accent1"/>
              </a:solidFill>
              <a:ln w="9525">
                <a:solidFill>
                  <a:schemeClr val="accent1"/>
                </a:solidFill>
              </a:ln>
              <a:effectLst/>
            </c:spPr>
          </c:marker>
          <c:xVal>
            <c:numRef>
              <c:f>Pivot_Engine!$G$44:$G$48</c:f>
              <c:numCache>
                <c:formatCode>0.0</c:formatCode>
                <c:ptCount val="5"/>
                <c:pt idx="0">
                  <c:v>81.509090909090915</c:v>
                </c:pt>
                <c:pt idx="1">
                  <c:v>84.291666666666671</c:v>
                </c:pt>
                <c:pt idx="2">
                  <c:v>83.909090909090907</c:v>
                </c:pt>
                <c:pt idx="3">
                  <c:v>81.491935483870961</c:v>
                </c:pt>
                <c:pt idx="4">
                  <c:v>82.855895196506552</c:v>
                </c:pt>
              </c:numCache>
            </c:numRef>
          </c:xVal>
          <c:yVal>
            <c:numRef>
              <c:f>Pivot_Engine!$H$44:$H$48</c:f>
              <c:numCache>
                <c:formatCode>0.0</c:formatCode>
                <c:ptCount val="5"/>
                <c:pt idx="0">
                  <c:v>3.0727272727272728</c:v>
                </c:pt>
                <c:pt idx="1">
                  <c:v>3.1666666666666665</c:v>
                </c:pt>
                <c:pt idx="2">
                  <c:v>3.3636363636363638</c:v>
                </c:pt>
                <c:pt idx="3">
                  <c:v>3.2419354838709675</c:v>
                </c:pt>
                <c:pt idx="4">
                  <c:v>3.2139737991266375</c:v>
                </c:pt>
              </c:numCache>
            </c:numRef>
          </c:yVal>
          <c:smooth val="0"/>
          <c:extLst>
            <c:ext xmlns:c16="http://schemas.microsoft.com/office/drawing/2014/chart" uri="{C3380CC4-5D6E-409C-BE32-E72D297353CC}">
              <c16:uniqueId val="{00000000-748D-407C-AE72-46D27E3D1525}"/>
            </c:ext>
          </c:extLst>
        </c:ser>
        <c:dLbls>
          <c:showLegendKey val="0"/>
          <c:showVal val="0"/>
          <c:showCatName val="0"/>
          <c:showSerName val="0"/>
          <c:showPercent val="0"/>
          <c:showBubbleSize val="0"/>
        </c:dLbls>
        <c:axId val="566103359"/>
        <c:axId val="566117759"/>
      </c:scatterChart>
      <c:valAx>
        <c:axId val="56610335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600" b="1"/>
                  <a:t>Attendance</a:t>
                </a:r>
                <a:r>
                  <a:rPr lang="en-GB" sz="1600" b="1" baseline="0"/>
                  <a:t> (%)</a:t>
                </a:r>
                <a:endParaRPr lang="en-GB" sz="1600"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566117759"/>
        <c:crosses val="autoZero"/>
        <c:crossBetween val="midCat"/>
      </c:valAx>
      <c:valAx>
        <c:axId val="5661177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sz="1600" b="1"/>
                  <a:t>Perfromance rating</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566103359"/>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[HR_Dataset.xlsx]Pivot_Engine!PivotTable19</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GB" sz="1800" b="1"/>
              <a:t>Attendance</a:t>
            </a:r>
            <a:r>
              <a:rPr lang="en-GB" sz="1800" b="1" baseline="0"/>
              <a:t> vs performance by Department</a:t>
            </a:r>
            <a:endParaRPr lang="en-GB"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Pivot_Engine!$H$35</c:f>
              <c:strCache>
                <c:ptCount val="1"/>
                <c:pt idx="0">
                  <c:v>Average of Attendance_%</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Pivot_Engine!$G$36:$G$41</c:f>
              <c:strCache>
                <c:ptCount val="5"/>
                <c:pt idx="0">
                  <c:v>Finance</c:v>
                </c:pt>
                <c:pt idx="1">
                  <c:v>HR</c:v>
                </c:pt>
                <c:pt idx="2">
                  <c:v>Operations</c:v>
                </c:pt>
                <c:pt idx="3">
                  <c:v>Sales</c:v>
                </c:pt>
                <c:pt idx="4">
                  <c:v>Tech</c:v>
                </c:pt>
              </c:strCache>
            </c:strRef>
          </c:cat>
          <c:val>
            <c:numRef>
              <c:f>Pivot_Engine!$H$36:$H$41</c:f>
              <c:numCache>
                <c:formatCode>0.0</c:formatCode>
                <c:ptCount val="5"/>
                <c:pt idx="0">
                  <c:v>81.509090909090915</c:v>
                </c:pt>
                <c:pt idx="1">
                  <c:v>84.291666666666671</c:v>
                </c:pt>
                <c:pt idx="2">
                  <c:v>83.909090909090907</c:v>
                </c:pt>
                <c:pt idx="3">
                  <c:v>81.491935483870961</c:v>
                </c:pt>
                <c:pt idx="4">
                  <c:v>82.855895196506552</c:v>
                </c:pt>
              </c:numCache>
            </c:numRef>
          </c:val>
          <c:extLst>
            <c:ext xmlns:c16="http://schemas.microsoft.com/office/drawing/2014/chart" uri="{C3380CC4-5D6E-409C-BE32-E72D297353CC}">
              <c16:uniqueId val="{00000000-1D2A-465C-B8B5-D4EDA8F6F7CA}"/>
            </c:ext>
          </c:extLst>
        </c:ser>
        <c:ser>
          <c:idx val="1"/>
          <c:order val="1"/>
          <c:tx>
            <c:strRef>
              <c:f>Pivot_Engine!$I$35</c:f>
              <c:strCache>
                <c:ptCount val="1"/>
                <c:pt idx="0">
                  <c:v>Average of Performance_Rating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Pivot_Engine!$G$36:$G$41</c:f>
              <c:strCache>
                <c:ptCount val="5"/>
                <c:pt idx="0">
                  <c:v>Finance</c:v>
                </c:pt>
                <c:pt idx="1">
                  <c:v>HR</c:v>
                </c:pt>
                <c:pt idx="2">
                  <c:v>Operations</c:v>
                </c:pt>
                <c:pt idx="3">
                  <c:v>Sales</c:v>
                </c:pt>
                <c:pt idx="4">
                  <c:v>Tech</c:v>
                </c:pt>
              </c:strCache>
            </c:strRef>
          </c:cat>
          <c:val>
            <c:numRef>
              <c:f>Pivot_Engine!$I$36:$I$41</c:f>
              <c:numCache>
                <c:formatCode>0.0</c:formatCode>
                <c:ptCount val="5"/>
                <c:pt idx="0">
                  <c:v>3.0727272727272728</c:v>
                </c:pt>
                <c:pt idx="1">
                  <c:v>3.1666666666666665</c:v>
                </c:pt>
                <c:pt idx="2">
                  <c:v>3.3636363636363638</c:v>
                </c:pt>
                <c:pt idx="3">
                  <c:v>3.2419354838709675</c:v>
                </c:pt>
                <c:pt idx="4">
                  <c:v>3.2139737991266375</c:v>
                </c:pt>
              </c:numCache>
            </c:numRef>
          </c:val>
          <c:extLst>
            <c:ext xmlns:c16="http://schemas.microsoft.com/office/drawing/2014/chart" uri="{C3380CC4-5D6E-409C-BE32-E72D297353CC}">
              <c16:uniqueId val="{00000001-1D2A-465C-B8B5-D4EDA8F6F7CA}"/>
            </c:ext>
          </c:extLst>
        </c:ser>
        <c:dLbls>
          <c:dLblPos val="ctr"/>
          <c:showLegendKey val="0"/>
          <c:showVal val="1"/>
          <c:showCatName val="0"/>
          <c:showSerName val="0"/>
          <c:showPercent val="0"/>
          <c:showBubbleSize val="0"/>
        </c:dLbls>
        <c:gapWidth val="150"/>
        <c:overlap val="100"/>
        <c:axId val="495891167"/>
        <c:axId val="495902207"/>
      </c:barChart>
      <c:catAx>
        <c:axId val="495891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495902207"/>
        <c:crosses val="autoZero"/>
        <c:auto val="1"/>
        <c:lblAlgn val="ctr"/>
        <c:lblOffset val="100"/>
        <c:noMultiLvlLbl val="0"/>
      </c:catAx>
      <c:valAx>
        <c:axId val="495902207"/>
        <c:scaling>
          <c:orientation val="minMax"/>
        </c:scaling>
        <c:delete val="1"/>
        <c:axPos val="b"/>
        <c:numFmt formatCode="0.0" sourceLinked="1"/>
        <c:majorTickMark val="none"/>
        <c:minorTickMark val="none"/>
        <c:tickLblPos val="nextTo"/>
        <c:crossAx val="495891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Performance Vs Training</a:t>
            </a:r>
            <a:r>
              <a:rPr lang="en-US" sz="1600" b="1" baseline="0"/>
              <a:t> Hours</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Pivot_Engine!$H$27</c:f>
              <c:strCache>
                <c:ptCount val="1"/>
                <c:pt idx="0">
                  <c:v>Average of Performance_Rating</c:v>
                </c:pt>
              </c:strCache>
            </c:strRef>
          </c:tx>
          <c:spPr>
            <a:ln w="28575" cap="rnd">
              <a:noFill/>
              <a:round/>
            </a:ln>
            <a:effectLst/>
          </c:spPr>
          <c:marker>
            <c:symbol val="circle"/>
            <c:size val="5"/>
            <c:spPr>
              <a:solidFill>
                <a:schemeClr val="accent1"/>
              </a:solidFill>
              <a:ln w="9525">
                <a:solidFill>
                  <a:schemeClr val="accent1"/>
                </a:solidFill>
              </a:ln>
              <a:effectLst/>
            </c:spPr>
          </c:marker>
          <c:xVal>
            <c:numRef>
              <c:f>Pivot_Engine!$G$28:$G$32</c:f>
              <c:numCache>
                <c:formatCode>0.0</c:formatCode>
                <c:ptCount val="5"/>
                <c:pt idx="0">
                  <c:v>24.163636363636364</c:v>
                </c:pt>
                <c:pt idx="1">
                  <c:v>24.208333333333332</c:v>
                </c:pt>
                <c:pt idx="2">
                  <c:v>28.09090909090909</c:v>
                </c:pt>
                <c:pt idx="3">
                  <c:v>25.951612903225808</c:v>
                </c:pt>
                <c:pt idx="4">
                  <c:v>26.017467248908297</c:v>
                </c:pt>
              </c:numCache>
            </c:numRef>
          </c:xVal>
          <c:yVal>
            <c:numRef>
              <c:f>Pivot_Engine!$H$28:$H$32</c:f>
              <c:numCache>
                <c:formatCode>0.0</c:formatCode>
                <c:ptCount val="5"/>
                <c:pt idx="0">
                  <c:v>3.0727272727272728</c:v>
                </c:pt>
                <c:pt idx="1">
                  <c:v>3.1666666666666665</c:v>
                </c:pt>
                <c:pt idx="2">
                  <c:v>3.3636363636363638</c:v>
                </c:pt>
                <c:pt idx="3">
                  <c:v>3.2419354838709675</c:v>
                </c:pt>
                <c:pt idx="4">
                  <c:v>3.2139737991266375</c:v>
                </c:pt>
              </c:numCache>
            </c:numRef>
          </c:yVal>
          <c:smooth val="0"/>
          <c:extLst>
            <c:ext xmlns:c16="http://schemas.microsoft.com/office/drawing/2014/chart" uri="{C3380CC4-5D6E-409C-BE32-E72D297353CC}">
              <c16:uniqueId val="{00000000-B020-45AE-87FC-C2884FE23F85}"/>
            </c:ext>
          </c:extLst>
        </c:ser>
        <c:dLbls>
          <c:showLegendKey val="0"/>
          <c:showVal val="0"/>
          <c:showCatName val="0"/>
          <c:showSerName val="0"/>
          <c:showPercent val="0"/>
          <c:showBubbleSize val="0"/>
        </c:dLbls>
        <c:axId val="637351663"/>
        <c:axId val="637352623"/>
      </c:scatterChart>
      <c:valAx>
        <c:axId val="6373516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sz="1600" b="1"/>
                  <a:t>Training</a:t>
                </a:r>
                <a:r>
                  <a:rPr lang="en-GB" sz="1600" b="1" baseline="0"/>
                  <a:t> Hours</a:t>
                </a:r>
                <a:endParaRPr lang="en-GB" sz="1600" b="1"/>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GB"/>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637352623"/>
        <c:crosses val="autoZero"/>
        <c:crossBetween val="midCat"/>
      </c:valAx>
      <c:valAx>
        <c:axId val="6373526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sz="1800" b="1"/>
                  <a:t>Performance Rating</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637351663"/>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2.svg"/><Relationship Id="rId7" Type="http://schemas.openxmlformats.org/officeDocument/2006/relationships/hyperlink" Target="#Dashboard_Performance!A1"/><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hyperlink" Target="#Dashboard_Attrition!A1"/><Relationship Id="rId5" Type="http://schemas.openxmlformats.org/officeDocument/2006/relationships/image" Target="../media/image4.svg"/><Relationship Id="rId4" Type="http://schemas.openxmlformats.org/officeDocument/2006/relationships/image" Target="../media/image3.png"/><Relationship Id="rId9"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hyperlink" Target="#Dashboard_Overview!A1"/><Relationship Id="rId7" Type="http://schemas.openxmlformats.org/officeDocument/2006/relationships/chart" Target="../charts/chart6.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hyperlink" Target="#Dashboard_Performance!A1"/></Relationships>
</file>

<file path=xl/drawings/_rels/drawing3.xml.rels><?xml version="1.0" encoding="UTF-8" standalone="yes"?>
<Relationships xmlns="http://schemas.openxmlformats.org/package/2006/relationships"><Relationship Id="rId3" Type="http://schemas.openxmlformats.org/officeDocument/2006/relationships/hyperlink" Target="#Dashboard_Overview!A1"/><Relationship Id="rId7" Type="http://schemas.openxmlformats.org/officeDocument/2006/relationships/chart" Target="../charts/chart9.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hyperlink" Target="#Dashboard_Performance!A1"/></Relationships>
</file>

<file path=xl/drawings/drawing1.xml><?xml version="1.0" encoding="utf-8"?>
<xdr:wsDr xmlns:xdr="http://schemas.openxmlformats.org/drawingml/2006/spreadsheetDrawing" xmlns:a="http://schemas.openxmlformats.org/drawingml/2006/main">
  <xdr:twoCellAnchor>
    <xdr:from>
      <xdr:col>4</xdr:col>
      <xdr:colOff>49478</xdr:colOff>
      <xdr:row>0</xdr:row>
      <xdr:rowOff>98961</xdr:rowOff>
    </xdr:from>
    <xdr:to>
      <xdr:col>34</xdr:col>
      <xdr:colOff>508000</xdr:colOff>
      <xdr:row>9</xdr:row>
      <xdr:rowOff>39584</xdr:rowOff>
    </xdr:to>
    <xdr:sp macro="" textlink="">
      <xdr:nvSpPr>
        <xdr:cNvPr id="2" name="Rectangle: Rounded Corners 1">
          <a:extLst>
            <a:ext uri="{FF2B5EF4-FFF2-40B4-BE49-F238E27FC236}">
              <a16:creationId xmlns:a16="http://schemas.microsoft.com/office/drawing/2014/main" id="{168C91C0-7F04-4F2F-AB37-06FA8EFA4D1F}"/>
            </a:ext>
          </a:extLst>
        </xdr:cNvPr>
        <xdr:cNvSpPr/>
      </xdr:nvSpPr>
      <xdr:spPr>
        <a:xfrm>
          <a:off x="2411678" y="98961"/>
          <a:ext cx="18175022" cy="165512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544786</xdr:colOff>
      <xdr:row>36</xdr:row>
      <xdr:rowOff>67807</xdr:rowOff>
    </xdr:from>
    <xdr:to>
      <xdr:col>17</xdr:col>
      <xdr:colOff>224307</xdr:colOff>
      <xdr:row>63</xdr:row>
      <xdr:rowOff>11269</xdr:rowOff>
    </xdr:to>
    <xdr:sp macro="" textlink="">
      <xdr:nvSpPr>
        <xdr:cNvPr id="3" name="Rectangle: Rounded Corners 2">
          <a:extLst>
            <a:ext uri="{FF2B5EF4-FFF2-40B4-BE49-F238E27FC236}">
              <a16:creationId xmlns:a16="http://schemas.microsoft.com/office/drawing/2014/main" id="{FF5BAA9D-80CF-4F4F-B5F6-03E173B8758D}"/>
            </a:ext>
          </a:extLst>
        </xdr:cNvPr>
        <xdr:cNvSpPr/>
      </xdr:nvSpPr>
      <xdr:spPr>
        <a:xfrm>
          <a:off x="2906986" y="6925807"/>
          <a:ext cx="7356671" cy="5086962"/>
        </a:xfrm>
        <a:prstGeom prst="roundRect">
          <a:avLst/>
        </a:prstGeom>
        <a:solidFill>
          <a:schemeClr val="bg1">
            <a:lumMod val="95000"/>
          </a:schemeClr>
        </a:solidFill>
        <a:effectLst>
          <a:outerShdw blurRad="50800" dist="38100" dir="2700000" algn="tl" rotWithShape="0">
            <a:prstClr val="black">
              <a:alpha val="6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31748</xdr:colOff>
      <xdr:row>0</xdr:row>
      <xdr:rowOff>107157</xdr:rowOff>
    </xdr:from>
    <xdr:to>
      <xdr:col>25</xdr:col>
      <xdr:colOff>450849</xdr:colOff>
      <xdr:row>8</xdr:row>
      <xdr:rowOff>119063</xdr:rowOff>
    </xdr:to>
    <xdr:sp macro="" textlink="">
      <xdr:nvSpPr>
        <xdr:cNvPr id="4" name="TextBox 3">
          <a:extLst>
            <a:ext uri="{FF2B5EF4-FFF2-40B4-BE49-F238E27FC236}">
              <a16:creationId xmlns:a16="http://schemas.microsoft.com/office/drawing/2014/main" id="{BCA285D1-EB7E-466A-A201-6A23FC592BEE}"/>
            </a:ext>
          </a:extLst>
        </xdr:cNvPr>
        <xdr:cNvSpPr txBox="1"/>
      </xdr:nvSpPr>
      <xdr:spPr>
        <a:xfrm>
          <a:off x="4165598" y="107157"/>
          <a:ext cx="11049001" cy="1535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a:solidFill>
                <a:schemeClr val="bg1">
                  <a:lumMod val="95000"/>
                </a:schemeClr>
              </a:solidFill>
              <a:latin typeface="Amasis MT Pro Medium" panose="02040604050005020304" pitchFamily="18" charset="0"/>
            </a:rPr>
            <a:t>HR ANALYSIS</a:t>
          </a:r>
          <a:r>
            <a:rPr lang="en-US" sz="3600" b="1" baseline="0">
              <a:solidFill>
                <a:schemeClr val="bg1">
                  <a:lumMod val="95000"/>
                </a:schemeClr>
              </a:solidFill>
              <a:latin typeface="Amasis MT Pro Medium" panose="02040604050005020304" pitchFamily="18" charset="0"/>
            </a:rPr>
            <a:t> - EMPLOYEE OVERVIEW DASHBOARD</a:t>
          </a:r>
          <a:endParaRPr lang="en-US" sz="3600" b="1">
            <a:solidFill>
              <a:schemeClr val="bg1">
                <a:lumMod val="95000"/>
              </a:schemeClr>
            </a:solidFill>
            <a:latin typeface="Amasis MT Pro Medium" panose="02040604050005020304" pitchFamily="18" charset="0"/>
          </a:endParaRPr>
        </a:p>
      </xdr:txBody>
    </xdr:sp>
    <xdr:clientData/>
  </xdr:twoCellAnchor>
  <xdr:twoCellAnchor>
    <xdr:from>
      <xdr:col>17</xdr:col>
      <xdr:colOff>527567</xdr:colOff>
      <xdr:row>36</xdr:row>
      <xdr:rowOff>14327</xdr:rowOff>
    </xdr:from>
    <xdr:to>
      <xdr:col>30</xdr:col>
      <xdr:colOff>272960</xdr:colOff>
      <xdr:row>63</xdr:row>
      <xdr:rowOff>0</xdr:rowOff>
    </xdr:to>
    <xdr:grpSp>
      <xdr:nvGrpSpPr>
        <xdr:cNvPr id="5" name="Group 4">
          <a:extLst>
            <a:ext uri="{FF2B5EF4-FFF2-40B4-BE49-F238E27FC236}">
              <a16:creationId xmlns:a16="http://schemas.microsoft.com/office/drawing/2014/main" id="{72900F16-F313-48F2-B06E-7FF5159CD1F8}"/>
            </a:ext>
          </a:extLst>
        </xdr:cNvPr>
        <xdr:cNvGrpSpPr/>
      </xdr:nvGrpSpPr>
      <xdr:grpSpPr>
        <a:xfrm>
          <a:off x="12186167" y="7329527"/>
          <a:ext cx="8660793" cy="5472073"/>
          <a:chOff x="10687925" y="1868527"/>
          <a:chExt cx="7282575" cy="4439403"/>
        </a:xfrm>
      </xdr:grpSpPr>
      <xdr:sp macro="" textlink="">
        <xdr:nvSpPr>
          <xdr:cNvPr id="6" name="Rectangle: Rounded Corners 5">
            <a:extLst>
              <a:ext uri="{FF2B5EF4-FFF2-40B4-BE49-F238E27FC236}">
                <a16:creationId xmlns:a16="http://schemas.microsoft.com/office/drawing/2014/main" id="{CB168529-EEC5-D343-6261-2DFA8263515E}"/>
              </a:ext>
            </a:extLst>
          </xdr:cNvPr>
          <xdr:cNvSpPr/>
        </xdr:nvSpPr>
        <xdr:spPr>
          <a:xfrm>
            <a:off x="10687925" y="1868527"/>
            <a:ext cx="7282575" cy="4439403"/>
          </a:xfrm>
          <a:prstGeom prst="roundRect">
            <a:avLst/>
          </a:prstGeom>
          <a:solidFill>
            <a:schemeClr val="bg1">
              <a:lumMod val="95000"/>
            </a:schemeClr>
          </a:solidFill>
          <a:effectLst>
            <a:outerShdw blurRad="50800" dist="38100" dir="2700000" algn="tl" rotWithShape="0">
              <a:prstClr val="black">
                <a:alpha val="6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7" name="Chart 6">
            <a:extLst>
              <a:ext uri="{FF2B5EF4-FFF2-40B4-BE49-F238E27FC236}">
                <a16:creationId xmlns:a16="http://schemas.microsoft.com/office/drawing/2014/main" id="{5D483866-2302-EDC2-F6EA-9F642E9F7318}"/>
              </a:ext>
            </a:extLst>
          </xdr:cNvPr>
          <xdr:cNvGraphicFramePr>
            <a:graphicFrameLocks/>
          </xdr:cNvGraphicFramePr>
        </xdr:nvGraphicFramePr>
        <xdr:xfrm>
          <a:off x="11023600" y="2084605"/>
          <a:ext cx="6666821" cy="3820894"/>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17</xdr:col>
      <xdr:colOff>517480</xdr:colOff>
      <xdr:row>10</xdr:row>
      <xdr:rowOff>88900</xdr:rowOff>
    </xdr:from>
    <xdr:to>
      <xdr:col>30</xdr:col>
      <xdr:colOff>168497</xdr:colOff>
      <xdr:row>35</xdr:row>
      <xdr:rowOff>25399</xdr:rowOff>
    </xdr:to>
    <xdr:sp macro="" textlink="">
      <xdr:nvSpPr>
        <xdr:cNvPr id="9" name="Rectangle: Rounded Corners 8">
          <a:extLst>
            <a:ext uri="{FF2B5EF4-FFF2-40B4-BE49-F238E27FC236}">
              <a16:creationId xmlns:a16="http://schemas.microsoft.com/office/drawing/2014/main" id="{FFBF78B8-5C91-00C0-DB23-A07059016DE3}"/>
            </a:ext>
          </a:extLst>
        </xdr:cNvPr>
        <xdr:cNvSpPr/>
      </xdr:nvSpPr>
      <xdr:spPr>
        <a:xfrm>
          <a:off x="10637793" y="2023666"/>
          <a:ext cx="7390079" cy="4773413"/>
        </a:xfrm>
        <a:prstGeom prst="roundRect">
          <a:avLst/>
        </a:prstGeom>
        <a:solidFill>
          <a:schemeClr val="bg1">
            <a:lumMod val="95000"/>
          </a:schemeClr>
        </a:solidFill>
        <a:effectLst>
          <a:outerShdw blurRad="50800" dist="38100" dir="2700000" algn="tl" rotWithShape="0">
            <a:prstClr val="black">
              <a:alpha val="6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196520</xdr:colOff>
      <xdr:row>10</xdr:row>
      <xdr:rowOff>44554</xdr:rowOff>
    </xdr:from>
    <xdr:to>
      <xdr:col>10</xdr:col>
      <xdr:colOff>479022</xdr:colOff>
      <xdr:row>35</xdr:row>
      <xdr:rowOff>140416</xdr:rowOff>
    </xdr:to>
    <xdr:sp macro="" textlink="">
      <xdr:nvSpPr>
        <xdr:cNvPr id="12" name="Rectangle: Rounded Corners 11">
          <a:extLst>
            <a:ext uri="{FF2B5EF4-FFF2-40B4-BE49-F238E27FC236}">
              <a16:creationId xmlns:a16="http://schemas.microsoft.com/office/drawing/2014/main" id="{CC116A1A-8E8D-4B34-AF10-C464DB2FBFAD}"/>
            </a:ext>
          </a:extLst>
        </xdr:cNvPr>
        <xdr:cNvSpPr/>
      </xdr:nvSpPr>
      <xdr:spPr>
        <a:xfrm>
          <a:off x="3149270" y="1949554"/>
          <a:ext cx="3235252" cy="4858362"/>
        </a:xfrm>
        <a:prstGeom prst="roundRect">
          <a:avLst/>
        </a:prstGeom>
        <a:solidFill>
          <a:schemeClr val="bg1">
            <a:lumMod val="95000"/>
          </a:schemeClr>
        </a:solidFill>
        <a:effectLst>
          <a:outerShdw blurRad="50800" dist="38100" dir="2700000" algn="tl" rotWithShape="0">
            <a:prstClr val="black">
              <a:alpha val="6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11</xdr:col>
      <xdr:colOff>322509</xdr:colOff>
      <xdr:row>10</xdr:row>
      <xdr:rowOff>43838</xdr:rowOff>
    </xdr:from>
    <xdr:to>
      <xdr:col>17</xdr:col>
      <xdr:colOff>49727</xdr:colOff>
      <xdr:row>35</xdr:row>
      <xdr:rowOff>127000</xdr:rowOff>
    </xdr:to>
    <xdr:sp macro="" textlink="">
      <xdr:nvSpPr>
        <xdr:cNvPr id="13" name="Rectangle: Rounded Corners 12">
          <a:extLst>
            <a:ext uri="{FF2B5EF4-FFF2-40B4-BE49-F238E27FC236}">
              <a16:creationId xmlns:a16="http://schemas.microsoft.com/office/drawing/2014/main" id="{271AF2D7-89ED-4F36-94C1-49EB7169F384}"/>
            </a:ext>
          </a:extLst>
        </xdr:cNvPr>
        <xdr:cNvSpPr/>
      </xdr:nvSpPr>
      <xdr:spPr>
        <a:xfrm>
          <a:off x="6818559" y="1948838"/>
          <a:ext cx="3270518" cy="4845662"/>
        </a:xfrm>
        <a:prstGeom prst="roundRect">
          <a:avLst/>
        </a:prstGeom>
        <a:solidFill>
          <a:schemeClr val="bg1">
            <a:lumMod val="95000"/>
          </a:schemeClr>
        </a:solidFill>
        <a:effectLst>
          <a:outerShdw blurRad="50800" dist="38100" dir="2700000" algn="tl" rotWithShape="0">
            <a:prstClr val="black">
              <a:alpha val="6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491008</xdr:colOff>
      <xdr:row>11</xdr:row>
      <xdr:rowOff>179946</xdr:rowOff>
    </xdr:from>
    <xdr:to>
      <xdr:col>10</xdr:col>
      <xdr:colOff>110007</xdr:colOff>
      <xdr:row>21</xdr:row>
      <xdr:rowOff>154546</xdr:rowOff>
    </xdr:to>
    <xdr:sp macro="" textlink="Pivot_Engine!A3">
      <xdr:nvSpPr>
        <xdr:cNvPr id="14" name="TextBox 13">
          <a:extLst>
            <a:ext uri="{FF2B5EF4-FFF2-40B4-BE49-F238E27FC236}">
              <a16:creationId xmlns:a16="http://schemas.microsoft.com/office/drawing/2014/main" id="{5B93242F-B475-4FE2-939C-1D0D5A259FE5}"/>
            </a:ext>
          </a:extLst>
        </xdr:cNvPr>
        <xdr:cNvSpPr txBox="1"/>
      </xdr:nvSpPr>
      <xdr:spPr>
        <a:xfrm>
          <a:off x="3443758" y="2275446"/>
          <a:ext cx="2571749" cy="18796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endParaRPr lang="en-US" sz="1800" b="0" i="0" u="none" strike="noStrike">
            <a:solidFill>
              <a:srgbClr val="000000"/>
            </a:solidFill>
            <a:latin typeface="Calibri"/>
            <a:ea typeface="Calibri"/>
            <a:cs typeface="Calibri"/>
          </a:endParaRPr>
        </a:p>
        <a:p>
          <a:pPr algn="r"/>
          <a:r>
            <a:rPr lang="en-US" sz="1800" b="0" i="0" u="none" strike="noStrike">
              <a:solidFill>
                <a:srgbClr val="000000"/>
              </a:solidFill>
              <a:latin typeface="Calibri"/>
              <a:ea typeface="Calibri"/>
              <a:cs typeface="Calibri"/>
            </a:rPr>
            <a:t>Total</a:t>
          </a:r>
          <a:r>
            <a:rPr lang="en-US" sz="1800" b="0" i="0" u="none" strike="noStrike" baseline="0">
              <a:solidFill>
                <a:srgbClr val="000000"/>
              </a:solidFill>
              <a:latin typeface="Calibri"/>
              <a:ea typeface="Calibri"/>
              <a:cs typeface="Calibri"/>
            </a:rPr>
            <a:t> Employees</a:t>
          </a:r>
          <a:endParaRPr lang="en-US" sz="1800" b="0" i="0" u="none" strike="noStrike">
            <a:solidFill>
              <a:srgbClr val="000000"/>
            </a:solidFill>
            <a:latin typeface="Calibri"/>
            <a:ea typeface="Calibri"/>
            <a:cs typeface="Calibri"/>
          </a:endParaRPr>
        </a:p>
        <a:p>
          <a:pPr algn="r"/>
          <a:endParaRPr lang="en-US" sz="1800" b="0" i="0" u="none" strike="noStrike">
            <a:solidFill>
              <a:srgbClr val="000000"/>
            </a:solidFill>
            <a:latin typeface="Calibri"/>
            <a:ea typeface="Calibri"/>
            <a:cs typeface="Calibri"/>
          </a:endParaRPr>
        </a:p>
        <a:p>
          <a:pPr algn="r"/>
          <a:fld id="{52AABCD5-FAEC-43D9-B9B9-5E752ACE6EE6}" type="TxLink">
            <a:rPr lang="en-US" sz="3200" b="0" i="0" u="none" strike="noStrike">
              <a:solidFill>
                <a:srgbClr val="000000"/>
              </a:solidFill>
              <a:latin typeface="Calibri"/>
              <a:ea typeface="Calibri"/>
              <a:cs typeface="Calibri"/>
            </a:rPr>
            <a:pPr algn="r"/>
            <a:t>500</a:t>
          </a:fld>
          <a:endParaRPr lang="en-US" sz="3200" b="0" i="0" u="none" strike="noStrike">
            <a:solidFill>
              <a:schemeClr val="tx2">
                <a:lumMod val="75000"/>
              </a:schemeClr>
            </a:solidFill>
            <a:latin typeface="Georgia" panose="02040502050405020303" pitchFamily="18" charset="0"/>
            <a:ea typeface="Calibri"/>
            <a:cs typeface="Calibri"/>
          </a:endParaRPr>
        </a:p>
      </xdr:txBody>
    </xdr:sp>
    <xdr:clientData/>
  </xdr:twoCellAnchor>
  <xdr:twoCellAnchor editAs="oneCell">
    <xdr:from>
      <xdr:col>5</xdr:col>
      <xdr:colOff>560588</xdr:colOff>
      <xdr:row>13</xdr:row>
      <xdr:rowOff>76200</xdr:rowOff>
    </xdr:from>
    <xdr:to>
      <xdr:col>7</xdr:col>
      <xdr:colOff>237006</xdr:colOff>
      <xdr:row>18</xdr:row>
      <xdr:rowOff>101600</xdr:rowOff>
    </xdr:to>
    <xdr:pic>
      <xdr:nvPicPr>
        <xdr:cNvPr id="15" name="Graphic 14" descr="User with solid fill">
          <a:extLst>
            <a:ext uri="{FF2B5EF4-FFF2-40B4-BE49-F238E27FC236}">
              <a16:creationId xmlns:a16="http://schemas.microsoft.com/office/drawing/2014/main" id="{82E36D50-58D9-4E21-A865-70F6D68580E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513338" y="2552700"/>
          <a:ext cx="895618" cy="977900"/>
        </a:xfrm>
        <a:prstGeom prst="rect">
          <a:avLst/>
        </a:prstGeom>
      </xdr:spPr>
    </xdr:pic>
    <xdr:clientData/>
  </xdr:twoCellAnchor>
  <xdr:twoCellAnchor>
    <xdr:from>
      <xdr:col>5</xdr:col>
      <xdr:colOff>491724</xdr:colOff>
      <xdr:row>23</xdr:row>
      <xdr:rowOff>78347</xdr:rowOff>
    </xdr:from>
    <xdr:to>
      <xdr:col>10</xdr:col>
      <xdr:colOff>110723</xdr:colOff>
      <xdr:row>33</xdr:row>
      <xdr:rowOff>52947</xdr:rowOff>
    </xdr:to>
    <xdr:sp macro="" textlink="Pivot_Engine!C3">
      <xdr:nvSpPr>
        <xdr:cNvPr id="16" name="TextBox 15">
          <a:extLst>
            <a:ext uri="{FF2B5EF4-FFF2-40B4-BE49-F238E27FC236}">
              <a16:creationId xmlns:a16="http://schemas.microsoft.com/office/drawing/2014/main" id="{3A15B29B-CE1C-4CD0-9E6C-34F68FF50E6F}"/>
            </a:ext>
          </a:extLst>
        </xdr:cNvPr>
        <xdr:cNvSpPr txBox="1"/>
      </xdr:nvSpPr>
      <xdr:spPr>
        <a:xfrm>
          <a:off x="3444474" y="4459847"/>
          <a:ext cx="2571749" cy="18796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indent="0" algn="r"/>
          <a:r>
            <a:rPr lang="en-US" sz="1800" b="0" i="0" u="none" strike="noStrike">
              <a:solidFill>
                <a:srgbClr val="000000"/>
              </a:solidFill>
              <a:latin typeface="Calibri"/>
              <a:ea typeface="Calibri"/>
              <a:cs typeface="Calibri"/>
            </a:rPr>
            <a:t>Active Employees</a:t>
          </a:r>
          <a:endParaRPr lang="en-US" sz="1100" b="0" i="0" u="none" strike="noStrike">
            <a:solidFill>
              <a:srgbClr val="000000"/>
            </a:solidFill>
            <a:latin typeface="Calibri"/>
            <a:ea typeface="Calibri"/>
            <a:cs typeface="Calibri"/>
          </a:endParaRPr>
        </a:p>
        <a:p>
          <a:pPr indent="0" algn="r"/>
          <a:endParaRPr lang="en-US" sz="1100" b="0" i="0" u="none" strike="noStrike">
            <a:solidFill>
              <a:srgbClr val="000000"/>
            </a:solidFill>
            <a:latin typeface="Calibri"/>
            <a:ea typeface="Calibri"/>
            <a:cs typeface="Calibri"/>
          </a:endParaRPr>
        </a:p>
        <a:p>
          <a:pPr indent="0" algn="r"/>
          <a:endParaRPr lang="en-US" sz="1100" b="0" i="0" u="none" strike="noStrike">
            <a:solidFill>
              <a:srgbClr val="000000"/>
            </a:solidFill>
            <a:latin typeface="Calibri"/>
            <a:ea typeface="Calibri"/>
            <a:cs typeface="Calibri"/>
          </a:endParaRPr>
        </a:p>
        <a:p>
          <a:pPr indent="0" algn="r"/>
          <a:fld id="{4BFE347A-A3C6-4783-992D-D0D7565CEEE6}" type="TxLink">
            <a:rPr lang="en-US" sz="3200" b="0" i="0" u="none" strike="noStrike">
              <a:solidFill>
                <a:srgbClr val="000000"/>
              </a:solidFill>
              <a:latin typeface="Calibri"/>
              <a:ea typeface="Calibri"/>
              <a:cs typeface="Calibri"/>
            </a:rPr>
            <a:pPr indent="0" algn="r"/>
            <a:t>418</a:t>
          </a:fld>
          <a:endParaRPr lang="en-US" sz="3200" b="0" i="0" u="none" strike="noStrike">
            <a:solidFill>
              <a:schemeClr val="tx2">
                <a:lumMod val="75000"/>
              </a:schemeClr>
            </a:solidFill>
            <a:latin typeface="Georgia" panose="02040502050405020303" pitchFamily="18" charset="0"/>
            <a:ea typeface="+mn-ea"/>
            <a:cs typeface="Calibri"/>
          </a:endParaRPr>
        </a:p>
      </xdr:txBody>
    </xdr:sp>
    <xdr:clientData/>
  </xdr:twoCellAnchor>
  <xdr:twoCellAnchor editAs="oneCell">
    <xdr:from>
      <xdr:col>5</xdr:col>
      <xdr:colOff>517123</xdr:colOff>
      <xdr:row>23</xdr:row>
      <xdr:rowOff>146140</xdr:rowOff>
    </xdr:from>
    <xdr:to>
      <xdr:col>7</xdr:col>
      <xdr:colOff>174222</xdr:colOff>
      <xdr:row>28</xdr:row>
      <xdr:rowOff>171540</xdr:rowOff>
    </xdr:to>
    <xdr:pic>
      <xdr:nvPicPr>
        <xdr:cNvPr id="17" name="Graphic 16" descr="User with solid fill">
          <a:extLst>
            <a:ext uri="{FF2B5EF4-FFF2-40B4-BE49-F238E27FC236}">
              <a16:creationId xmlns:a16="http://schemas.microsoft.com/office/drawing/2014/main" id="{60800FBB-F64E-4032-BBE6-941F9507622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469873" y="4527640"/>
          <a:ext cx="876299" cy="977900"/>
        </a:xfrm>
        <a:prstGeom prst="rect">
          <a:avLst/>
        </a:prstGeom>
      </xdr:spPr>
    </xdr:pic>
    <xdr:clientData/>
  </xdr:twoCellAnchor>
  <xdr:twoCellAnchor>
    <xdr:from>
      <xdr:col>12</xdr:col>
      <xdr:colOff>75843</xdr:colOff>
      <xdr:row>12</xdr:row>
      <xdr:rowOff>19676</xdr:rowOff>
    </xdr:from>
    <xdr:to>
      <xdr:col>16</xdr:col>
      <xdr:colOff>285124</xdr:colOff>
      <xdr:row>21</xdr:row>
      <xdr:rowOff>182093</xdr:rowOff>
    </xdr:to>
    <xdr:sp macro="" textlink="Pivot_Engine!E3">
      <xdr:nvSpPr>
        <xdr:cNvPr id="18" name="TextBox 17">
          <a:extLst>
            <a:ext uri="{FF2B5EF4-FFF2-40B4-BE49-F238E27FC236}">
              <a16:creationId xmlns:a16="http://schemas.microsoft.com/office/drawing/2014/main" id="{051E3697-A159-46E5-BCE1-14D8AF78B7AC}"/>
            </a:ext>
          </a:extLst>
        </xdr:cNvPr>
        <xdr:cNvSpPr txBox="1"/>
      </xdr:nvSpPr>
      <xdr:spPr>
        <a:xfrm>
          <a:off x="7162443" y="2305676"/>
          <a:ext cx="2571481" cy="1876917"/>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indent="0" algn="ctr"/>
          <a:endParaRPr lang="en-US" sz="1800" b="0" i="0" u="none" strike="noStrike">
            <a:solidFill>
              <a:srgbClr val="000000"/>
            </a:solidFill>
            <a:latin typeface="Calibri"/>
            <a:ea typeface="Calibri"/>
            <a:cs typeface="Calibri"/>
          </a:endParaRPr>
        </a:p>
        <a:p>
          <a:pPr indent="0" algn="ctr"/>
          <a:r>
            <a:rPr lang="en-US" sz="1800" b="0" i="0" u="none" strike="noStrike">
              <a:solidFill>
                <a:srgbClr val="000000"/>
              </a:solidFill>
              <a:latin typeface="Calibri"/>
              <a:ea typeface="Calibri"/>
              <a:cs typeface="Calibri"/>
            </a:rPr>
            <a:t>Average Age</a:t>
          </a:r>
        </a:p>
        <a:p>
          <a:pPr indent="0" algn="ctr"/>
          <a:endParaRPr lang="en-US" sz="1100" b="0" i="0" u="none" strike="noStrike">
            <a:solidFill>
              <a:srgbClr val="000000"/>
            </a:solidFill>
            <a:latin typeface="Calibri"/>
            <a:ea typeface="Calibri"/>
            <a:cs typeface="Calibri"/>
          </a:endParaRPr>
        </a:p>
        <a:p>
          <a:pPr indent="0" algn="ctr"/>
          <a:fld id="{8D8E6783-9536-43DA-A493-7D26BF1492DE}" type="TxLink">
            <a:rPr lang="en-US" sz="3200" b="0" i="0" u="none" strike="noStrike">
              <a:solidFill>
                <a:srgbClr val="000000"/>
              </a:solidFill>
              <a:latin typeface="Calibri"/>
              <a:ea typeface="Calibri"/>
              <a:cs typeface="Calibri"/>
            </a:rPr>
            <a:pPr indent="0" algn="ctr"/>
            <a:t>39</a:t>
          </a:fld>
          <a:endParaRPr lang="en-US" sz="3200" b="0" i="0" u="none" strike="noStrike">
            <a:solidFill>
              <a:schemeClr val="tx2">
                <a:lumMod val="75000"/>
              </a:schemeClr>
            </a:solidFill>
            <a:latin typeface="Georgia" panose="02040502050405020303" pitchFamily="18" charset="0"/>
            <a:ea typeface="+mn-ea"/>
            <a:cs typeface="Calibri"/>
          </a:endParaRPr>
        </a:p>
      </xdr:txBody>
    </xdr:sp>
    <xdr:clientData/>
  </xdr:twoCellAnchor>
  <xdr:twoCellAnchor>
    <xdr:from>
      <xdr:col>12</xdr:col>
      <xdr:colOff>75843</xdr:colOff>
      <xdr:row>23</xdr:row>
      <xdr:rowOff>51516</xdr:rowOff>
    </xdr:from>
    <xdr:to>
      <xdr:col>16</xdr:col>
      <xdr:colOff>285124</xdr:colOff>
      <xdr:row>33</xdr:row>
      <xdr:rowOff>26116</xdr:rowOff>
    </xdr:to>
    <xdr:sp macro="" textlink="Pivot_Engine!I3">
      <xdr:nvSpPr>
        <xdr:cNvPr id="19" name="TextBox 18">
          <a:extLst>
            <a:ext uri="{FF2B5EF4-FFF2-40B4-BE49-F238E27FC236}">
              <a16:creationId xmlns:a16="http://schemas.microsoft.com/office/drawing/2014/main" id="{18E9643B-6C72-499E-86E9-B8F652785622}"/>
            </a:ext>
          </a:extLst>
        </xdr:cNvPr>
        <xdr:cNvSpPr txBox="1"/>
      </xdr:nvSpPr>
      <xdr:spPr>
        <a:xfrm>
          <a:off x="7162443" y="4433016"/>
          <a:ext cx="2571481" cy="1879600"/>
        </a:xfrm>
        <a:prstGeom prst="rect">
          <a:avLst/>
        </a:prstGeom>
        <a:solidFill>
          <a:schemeClr val="accent1">
            <a:lumMod val="20000"/>
            <a:lumOff val="80000"/>
          </a:schemeClr>
        </a:solidFill>
        <a:ln w="9525" cmpd="sng">
          <a:solidFill>
            <a:schemeClr val="lt1">
              <a:shade val="50000"/>
            </a:schemeClr>
          </a:solidFill>
        </a:ln>
        <a:effectLst>
          <a:outerShdw blurRad="50800" dist="38100" dir="5400000" algn="t" rotWithShape="0">
            <a:prstClr val="black">
              <a:alpha val="8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800" b="0" i="0" u="none" strike="noStrike">
              <a:solidFill>
                <a:srgbClr val="000000"/>
              </a:solidFill>
              <a:latin typeface="Calibri"/>
              <a:ea typeface="Calibri"/>
              <a:cs typeface="Calibri"/>
            </a:rPr>
            <a:t>Average Tenure</a:t>
          </a:r>
        </a:p>
        <a:p>
          <a:pPr marL="0" indent="0" algn="ctr"/>
          <a:endParaRPr lang="en-US" sz="1100" b="0" i="0" u="none" strike="noStrike">
            <a:solidFill>
              <a:srgbClr val="000000"/>
            </a:solidFill>
            <a:latin typeface="Calibri"/>
            <a:ea typeface="Calibri"/>
            <a:cs typeface="Calibri"/>
          </a:endParaRPr>
        </a:p>
        <a:p>
          <a:pPr marL="0" indent="0" algn="ctr"/>
          <a:fld id="{067A83F3-53DD-4C11-A172-488C52F5A613}" type="TxLink">
            <a:rPr lang="en-US" sz="3200" b="0" i="0" u="none" strike="noStrike">
              <a:solidFill>
                <a:srgbClr val="000000"/>
              </a:solidFill>
              <a:latin typeface="Calibri"/>
              <a:ea typeface="Calibri"/>
              <a:cs typeface="Calibri"/>
            </a:rPr>
            <a:pPr marL="0" indent="0" algn="ctr"/>
            <a:t>4</a:t>
          </a:fld>
          <a:endParaRPr lang="en-US" sz="3200" b="0" i="0" u="none" strike="noStrike">
            <a:solidFill>
              <a:schemeClr val="tx2">
                <a:lumMod val="75000"/>
              </a:schemeClr>
            </a:solidFill>
            <a:latin typeface="Georgia" panose="02040502050405020303" pitchFamily="18" charset="0"/>
            <a:ea typeface="+mn-ea"/>
            <a:cs typeface="Calibri"/>
          </a:endParaRPr>
        </a:p>
      </xdr:txBody>
    </xdr:sp>
    <xdr:clientData/>
  </xdr:twoCellAnchor>
  <xdr:twoCellAnchor>
    <xdr:from>
      <xdr:col>5</xdr:col>
      <xdr:colOff>442711</xdr:colOff>
      <xdr:row>12</xdr:row>
      <xdr:rowOff>4830</xdr:rowOff>
    </xdr:from>
    <xdr:to>
      <xdr:col>5</xdr:col>
      <xdr:colOff>488430</xdr:colOff>
      <xdr:row>21</xdr:row>
      <xdr:rowOff>141847</xdr:rowOff>
    </xdr:to>
    <xdr:sp macro="" textlink="">
      <xdr:nvSpPr>
        <xdr:cNvPr id="23" name="Rectangle 22">
          <a:extLst>
            <a:ext uri="{FF2B5EF4-FFF2-40B4-BE49-F238E27FC236}">
              <a16:creationId xmlns:a16="http://schemas.microsoft.com/office/drawing/2014/main" id="{84183B03-5E95-42F2-B91D-1556E18E3074}"/>
            </a:ext>
          </a:extLst>
        </xdr:cNvPr>
        <xdr:cNvSpPr/>
      </xdr:nvSpPr>
      <xdr:spPr>
        <a:xfrm>
          <a:off x="3395461" y="2290830"/>
          <a:ext cx="45719" cy="185151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469542</xdr:colOff>
      <xdr:row>23</xdr:row>
      <xdr:rowOff>91762</xdr:rowOff>
    </xdr:from>
    <xdr:to>
      <xdr:col>5</xdr:col>
      <xdr:colOff>515261</xdr:colOff>
      <xdr:row>33</xdr:row>
      <xdr:rowOff>30945</xdr:rowOff>
    </xdr:to>
    <xdr:sp macro="" textlink="">
      <xdr:nvSpPr>
        <xdr:cNvPr id="24" name="Rectangle 23">
          <a:extLst>
            <a:ext uri="{FF2B5EF4-FFF2-40B4-BE49-F238E27FC236}">
              <a16:creationId xmlns:a16="http://schemas.microsoft.com/office/drawing/2014/main" id="{452AF80C-897E-4AB8-9858-7D206BC9B86F}"/>
            </a:ext>
          </a:extLst>
        </xdr:cNvPr>
        <xdr:cNvSpPr/>
      </xdr:nvSpPr>
      <xdr:spPr>
        <a:xfrm>
          <a:off x="3422292" y="4473262"/>
          <a:ext cx="45719" cy="1844183"/>
        </a:xfrm>
        <a:prstGeom prst="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74412</xdr:colOff>
      <xdr:row>12</xdr:row>
      <xdr:rowOff>32376</xdr:rowOff>
    </xdr:from>
    <xdr:to>
      <xdr:col>12</xdr:col>
      <xdr:colOff>100813</xdr:colOff>
      <xdr:row>21</xdr:row>
      <xdr:rowOff>169393</xdr:rowOff>
    </xdr:to>
    <xdr:sp macro="" textlink="">
      <xdr:nvSpPr>
        <xdr:cNvPr id="25" name="Rectangle 24">
          <a:extLst>
            <a:ext uri="{FF2B5EF4-FFF2-40B4-BE49-F238E27FC236}">
              <a16:creationId xmlns:a16="http://schemas.microsoft.com/office/drawing/2014/main" id="{3AAA4F07-DAED-49A8-9BA5-D06C1CD35D53}"/>
            </a:ext>
          </a:extLst>
        </xdr:cNvPr>
        <xdr:cNvSpPr/>
      </xdr:nvSpPr>
      <xdr:spPr>
        <a:xfrm>
          <a:off x="7161012" y="2318376"/>
          <a:ext cx="26401" cy="1851517"/>
        </a:xfrm>
        <a:prstGeom prst="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55051</xdr:colOff>
      <xdr:row>23</xdr:row>
      <xdr:rowOff>75389</xdr:rowOff>
    </xdr:from>
    <xdr:to>
      <xdr:col>12</xdr:col>
      <xdr:colOff>81452</xdr:colOff>
      <xdr:row>33</xdr:row>
      <xdr:rowOff>16066</xdr:rowOff>
    </xdr:to>
    <xdr:sp macro="" textlink="">
      <xdr:nvSpPr>
        <xdr:cNvPr id="26" name="Rectangle 25">
          <a:extLst>
            <a:ext uri="{FF2B5EF4-FFF2-40B4-BE49-F238E27FC236}">
              <a16:creationId xmlns:a16="http://schemas.microsoft.com/office/drawing/2014/main" id="{8F10BFC4-0058-4DE7-B168-112E6F2B9BF5}"/>
            </a:ext>
          </a:extLst>
        </xdr:cNvPr>
        <xdr:cNvSpPr/>
      </xdr:nvSpPr>
      <xdr:spPr>
        <a:xfrm>
          <a:off x="7141651" y="4456889"/>
          <a:ext cx="26401" cy="1845677"/>
        </a:xfrm>
        <a:prstGeom prst="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101600</xdr:rowOff>
    </xdr:from>
    <xdr:to>
      <xdr:col>3</xdr:col>
      <xdr:colOff>456127</xdr:colOff>
      <xdr:row>64</xdr:row>
      <xdr:rowOff>76200</xdr:rowOff>
    </xdr:to>
    <xdr:grpSp>
      <xdr:nvGrpSpPr>
        <xdr:cNvPr id="27" name="Group 26">
          <a:extLst>
            <a:ext uri="{FF2B5EF4-FFF2-40B4-BE49-F238E27FC236}">
              <a16:creationId xmlns:a16="http://schemas.microsoft.com/office/drawing/2014/main" id="{FC3925CE-097C-4435-8D94-C6CE18A866B7}"/>
            </a:ext>
          </a:extLst>
        </xdr:cNvPr>
        <xdr:cNvGrpSpPr/>
      </xdr:nvGrpSpPr>
      <xdr:grpSpPr>
        <a:xfrm>
          <a:off x="0" y="101600"/>
          <a:ext cx="2513527" cy="12979400"/>
          <a:chOff x="0" y="101600"/>
          <a:chExt cx="2226972" cy="11994882"/>
        </a:xfrm>
      </xdr:grpSpPr>
      <xdr:sp macro="" textlink="">
        <xdr:nvSpPr>
          <xdr:cNvPr id="28" name="Rectangle 27">
            <a:extLst>
              <a:ext uri="{FF2B5EF4-FFF2-40B4-BE49-F238E27FC236}">
                <a16:creationId xmlns:a16="http://schemas.microsoft.com/office/drawing/2014/main" id="{92DF32FE-C42C-F529-BC83-A4DFD13CC58A}"/>
              </a:ext>
            </a:extLst>
          </xdr:cNvPr>
          <xdr:cNvSpPr/>
        </xdr:nvSpPr>
        <xdr:spPr>
          <a:xfrm>
            <a:off x="12700" y="101600"/>
            <a:ext cx="2151845" cy="11994882"/>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9" name="Graphic 28" descr="Home with solid fill">
            <a:extLst>
              <a:ext uri="{FF2B5EF4-FFF2-40B4-BE49-F238E27FC236}">
                <a16:creationId xmlns:a16="http://schemas.microsoft.com/office/drawing/2014/main" id="{BD7C68E6-6834-00FB-87A3-19B10C5165A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42900" y="238617"/>
            <a:ext cx="1396463" cy="1515235"/>
          </a:xfrm>
          <a:prstGeom prst="rect">
            <a:avLst/>
          </a:prstGeom>
        </xdr:spPr>
      </xdr:pic>
      <xdr:sp macro="" textlink="">
        <xdr:nvSpPr>
          <xdr:cNvPr id="30" name="Rectangle 29">
            <a:extLst>
              <a:ext uri="{FF2B5EF4-FFF2-40B4-BE49-F238E27FC236}">
                <a16:creationId xmlns:a16="http://schemas.microsoft.com/office/drawing/2014/main" id="{59E7686B-E667-7832-28D4-66749B51C9FC}"/>
              </a:ext>
            </a:extLst>
          </xdr:cNvPr>
          <xdr:cNvSpPr/>
        </xdr:nvSpPr>
        <xdr:spPr>
          <a:xfrm>
            <a:off x="13414" y="2683099"/>
            <a:ext cx="2213558" cy="914400"/>
          </a:xfrm>
          <a:prstGeom prst="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b="1">
                <a:solidFill>
                  <a:sysClr val="windowText" lastClr="000000"/>
                </a:solidFill>
                <a:latin typeface="Comic Sans MS" panose="030F0702030302020204" pitchFamily="66" charset="0"/>
              </a:rPr>
              <a:t>OVERVIEW</a:t>
            </a:r>
          </a:p>
        </xdr:txBody>
      </xdr:sp>
      <xdr:sp macro="" textlink="">
        <xdr:nvSpPr>
          <xdr:cNvPr id="31" name="Rectangle 30">
            <a:hlinkClick xmlns:r="http://schemas.openxmlformats.org/officeDocument/2006/relationships" r:id="rId6"/>
            <a:extLst>
              <a:ext uri="{FF2B5EF4-FFF2-40B4-BE49-F238E27FC236}">
                <a16:creationId xmlns:a16="http://schemas.microsoft.com/office/drawing/2014/main" id="{3695D84D-E018-7BEA-17D5-69E447281B02}"/>
              </a:ext>
            </a:extLst>
          </xdr:cNvPr>
          <xdr:cNvSpPr/>
        </xdr:nvSpPr>
        <xdr:spPr>
          <a:xfrm>
            <a:off x="0" y="5360473"/>
            <a:ext cx="2146479" cy="91440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2400" b="1">
                <a:solidFill>
                  <a:sysClr val="windowText" lastClr="000000"/>
                </a:solidFill>
                <a:latin typeface="Comic Sans MS" panose="030F0702030302020204" pitchFamily="66" charset="0"/>
                <a:ea typeface="+mn-ea"/>
                <a:cs typeface="+mn-cs"/>
              </a:rPr>
              <a:t>ATTRITION</a:t>
            </a:r>
          </a:p>
        </xdr:txBody>
      </xdr:sp>
      <xdr:sp macro="" textlink="">
        <xdr:nvSpPr>
          <xdr:cNvPr id="32" name="Rectangle 31">
            <a:hlinkClick xmlns:r="http://schemas.openxmlformats.org/officeDocument/2006/relationships" r:id="rId7"/>
            <a:extLst>
              <a:ext uri="{FF2B5EF4-FFF2-40B4-BE49-F238E27FC236}">
                <a16:creationId xmlns:a16="http://schemas.microsoft.com/office/drawing/2014/main" id="{70DE781D-950D-40E4-D2D0-03319AD8BCAD}"/>
              </a:ext>
            </a:extLst>
          </xdr:cNvPr>
          <xdr:cNvSpPr/>
        </xdr:nvSpPr>
        <xdr:spPr>
          <a:xfrm>
            <a:off x="0" y="7963079"/>
            <a:ext cx="2146479" cy="91440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2000" b="1">
                <a:solidFill>
                  <a:sysClr val="windowText" lastClr="000000"/>
                </a:solidFill>
                <a:latin typeface="Comic Sans MS" panose="030F0702030302020204" pitchFamily="66" charset="0"/>
                <a:ea typeface="+mn-ea"/>
                <a:cs typeface="+mn-cs"/>
              </a:rPr>
              <a:t>PERFORMANCE</a:t>
            </a:r>
          </a:p>
        </xdr:txBody>
      </xdr:sp>
    </xdr:grpSp>
    <xdr:clientData/>
  </xdr:twoCellAnchor>
  <xdr:twoCellAnchor>
    <xdr:from>
      <xdr:col>5</xdr:col>
      <xdr:colOff>535780</xdr:colOff>
      <xdr:row>38</xdr:row>
      <xdr:rowOff>44649</xdr:rowOff>
    </xdr:from>
    <xdr:to>
      <xdr:col>16</xdr:col>
      <xdr:colOff>312538</xdr:colOff>
      <xdr:row>61</xdr:row>
      <xdr:rowOff>59532</xdr:rowOff>
    </xdr:to>
    <xdr:graphicFrame macro="">
      <xdr:nvGraphicFramePr>
        <xdr:cNvPr id="33" name="Chart 32">
          <a:extLst>
            <a:ext uri="{FF2B5EF4-FFF2-40B4-BE49-F238E27FC236}">
              <a16:creationId xmlns:a16="http://schemas.microsoft.com/office/drawing/2014/main" id="{76BE1AF8-3DAE-4006-97FC-7DF42FFAB3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431601</xdr:colOff>
      <xdr:row>12</xdr:row>
      <xdr:rowOff>89297</xdr:rowOff>
    </xdr:from>
    <xdr:to>
      <xdr:col>29</xdr:col>
      <xdr:colOff>267890</xdr:colOff>
      <xdr:row>33</xdr:row>
      <xdr:rowOff>59530</xdr:rowOff>
    </xdr:to>
    <xdr:graphicFrame macro="">
      <xdr:nvGraphicFramePr>
        <xdr:cNvPr id="34" name="Chart 33">
          <a:extLst>
            <a:ext uri="{FF2B5EF4-FFF2-40B4-BE49-F238E27FC236}">
              <a16:creationId xmlns:a16="http://schemas.microsoft.com/office/drawing/2014/main" id="{EF115BFC-18C6-4D13-9868-0C9ED7DA02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30</xdr:col>
      <xdr:colOff>442316</xdr:colOff>
      <xdr:row>10</xdr:row>
      <xdr:rowOff>138707</xdr:rowOff>
    </xdr:from>
    <xdr:to>
      <xdr:col>36</xdr:col>
      <xdr:colOff>193476</xdr:colOff>
      <xdr:row>34</xdr:row>
      <xdr:rowOff>178594</xdr:rowOff>
    </xdr:to>
    <mc:AlternateContent xmlns:mc="http://schemas.openxmlformats.org/markup-compatibility/2006" xmlns:a14="http://schemas.microsoft.com/office/drawing/2010/main">
      <mc:Choice Requires="a14">
        <xdr:graphicFrame macro="">
          <xdr:nvGraphicFramePr>
            <xdr:cNvPr id="35" name="Department">
              <a:extLst>
                <a:ext uri="{FF2B5EF4-FFF2-40B4-BE49-F238E27FC236}">
                  <a16:creationId xmlns:a16="http://schemas.microsoft.com/office/drawing/2014/main" id="{0CA5B468-0D00-5C2B-C429-232F6717EA8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8205154" y="2069450"/>
              <a:ext cx="3303727" cy="467367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409573</xdr:colOff>
      <xdr:row>36</xdr:row>
      <xdr:rowOff>99333</xdr:rowOff>
    </xdr:from>
    <xdr:to>
      <xdr:col>36</xdr:col>
      <xdr:colOff>226785</xdr:colOff>
      <xdr:row>44</xdr:row>
      <xdr:rowOff>90715</xdr:rowOff>
    </xdr:to>
    <mc:AlternateContent xmlns:mc="http://schemas.openxmlformats.org/markup-compatibility/2006" xmlns:a14="http://schemas.microsoft.com/office/drawing/2010/main">
      <mc:Choice Requires="a14">
        <xdr:graphicFrame macro="">
          <xdr:nvGraphicFramePr>
            <xdr:cNvPr id="36" name="Gender">
              <a:extLst>
                <a:ext uri="{FF2B5EF4-FFF2-40B4-BE49-F238E27FC236}">
                  <a16:creationId xmlns:a16="http://schemas.microsoft.com/office/drawing/2014/main" id="{884A8002-6EC0-D0A0-81E3-E8523BD2BF8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8172411" y="7050009"/>
              <a:ext cx="3369779" cy="153597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454932</xdr:colOff>
      <xdr:row>46</xdr:row>
      <xdr:rowOff>53976</xdr:rowOff>
    </xdr:from>
    <xdr:to>
      <xdr:col>36</xdr:col>
      <xdr:colOff>215082</xdr:colOff>
      <xdr:row>60</xdr:row>
      <xdr:rowOff>38101</xdr:rowOff>
    </xdr:to>
    <mc:AlternateContent xmlns:mc="http://schemas.openxmlformats.org/markup-compatibility/2006" xmlns:a14="http://schemas.microsoft.com/office/drawing/2010/main">
      <mc:Choice Requires="a14">
        <xdr:graphicFrame macro="">
          <xdr:nvGraphicFramePr>
            <xdr:cNvPr id="37" name="Job_Role">
              <a:extLst>
                <a:ext uri="{FF2B5EF4-FFF2-40B4-BE49-F238E27FC236}">
                  <a16:creationId xmlns:a16="http://schemas.microsoft.com/office/drawing/2014/main" id="{1DC759C3-C9D4-D091-2CFF-D6D6DA460D84}"/>
                </a:ext>
              </a:extLst>
            </xdr:cNvPr>
            <xdr:cNvGraphicFramePr/>
          </xdr:nvGraphicFramePr>
          <xdr:xfrm>
            <a:off x="0" y="0"/>
            <a:ext cx="0" cy="0"/>
          </xdr:xfrm>
          <a:graphic>
            <a:graphicData uri="http://schemas.microsoft.com/office/drawing/2010/slicer">
              <sle:slicer xmlns:sle="http://schemas.microsoft.com/office/drawing/2010/slicer" name="Job_Role"/>
            </a:graphicData>
          </a:graphic>
        </xdr:graphicFrame>
      </mc:Choice>
      <mc:Fallback xmlns="">
        <xdr:sp macro="" textlink="">
          <xdr:nvSpPr>
            <xdr:cNvPr id="0" name=""/>
            <xdr:cNvSpPr>
              <a:spLocks noTextEdit="1"/>
            </xdr:cNvSpPr>
          </xdr:nvSpPr>
          <xdr:spPr>
            <a:xfrm>
              <a:off x="18217770" y="8935395"/>
              <a:ext cx="3312717" cy="268716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95249</xdr:colOff>
      <xdr:row>40</xdr:row>
      <xdr:rowOff>79375</xdr:rowOff>
    </xdr:from>
    <xdr:to>
      <xdr:col>25</xdr:col>
      <xdr:colOff>126999</xdr:colOff>
      <xdr:row>62</xdr:row>
      <xdr:rowOff>142875</xdr:rowOff>
    </xdr:to>
    <xdr:sp macro="" textlink="">
      <xdr:nvSpPr>
        <xdr:cNvPr id="2" name="Rectangle: Rounded Corners 1">
          <a:extLst>
            <a:ext uri="{FF2B5EF4-FFF2-40B4-BE49-F238E27FC236}">
              <a16:creationId xmlns:a16="http://schemas.microsoft.com/office/drawing/2014/main" id="{A31A4A46-9B34-4A62-8635-5C28A01A9B5D}"/>
            </a:ext>
          </a:extLst>
        </xdr:cNvPr>
        <xdr:cNvSpPr/>
      </xdr:nvSpPr>
      <xdr:spPr>
        <a:xfrm>
          <a:off x="2457449" y="7699375"/>
          <a:ext cx="12433300" cy="4254500"/>
        </a:xfrm>
        <a:prstGeom prst="roundRect">
          <a:avLst>
            <a:gd name="adj" fmla="val 1109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254000</xdr:colOff>
      <xdr:row>17</xdr:row>
      <xdr:rowOff>95250</xdr:rowOff>
    </xdr:from>
    <xdr:to>
      <xdr:col>34</xdr:col>
      <xdr:colOff>428625</xdr:colOff>
      <xdr:row>39</xdr:row>
      <xdr:rowOff>174625</xdr:rowOff>
    </xdr:to>
    <xdr:sp macro="" textlink="">
      <xdr:nvSpPr>
        <xdr:cNvPr id="3" name="Rectangle: Rounded Corners 2">
          <a:extLst>
            <a:ext uri="{FF2B5EF4-FFF2-40B4-BE49-F238E27FC236}">
              <a16:creationId xmlns:a16="http://schemas.microsoft.com/office/drawing/2014/main" id="{D47A61FA-4D13-4EBA-9AEF-35F7A508D9FD}"/>
            </a:ext>
          </a:extLst>
        </xdr:cNvPr>
        <xdr:cNvSpPr/>
      </xdr:nvSpPr>
      <xdr:spPr>
        <a:xfrm>
          <a:off x="11474450" y="3333750"/>
          <a:ext cx="9032875" cy="4270375"/>
        </a:xfrm>
        <a:prstGeom prst="roundRect">
          <a:avLst>
            <a:gd name="adj" fmla="val 1109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15876</xdr:colOff>
      <xdr:row>17</xdr:row>
      <xdr:rowOff>127000</xdr:rowOff>
    </xdr:from>
    <xdr:to>
      <xdr:col>19</xdr:col>
      <xdr:colOff>190501</xdr:colOff>
      <xdr:row>40</xdr:row>
      <xdr:rowOff>15875</xdr:rowOff>
    </xdr:to>
    <xdr:sp macro="" textlink="">
      <xdr:nvSpPr>
        <xdr:cNvPr id="4" name="Rectangle: Rounded Corners 3">
          <a:extLst>
            <a:ext uri="{FF2B5EF4-FFF2-40B4-BE49-F238E27FC236}">
              <a16:creationId xmlns:a16="http://schemas.microsoft.com/office/drawing/2014/main" id="{0FF27B48-CAC4-44D6-ABCB-FF4444FA8A0E}"/>
            </a:ext>
          </a:extLst>
        </xdr:cNvPr>
        <xdr:cNvSpPr/>
      </xdr:nvSpPr>
      <xdr:spPr>
        <a:xfrm>
          <a:off x="2378076" y="3365500"/>
          <a:ext cx="9032875" cy="4270375"/>
        </a:xfrm>
        <a:prstGeom prst="roundRect">
          <a:avLst>
            <a:gd name="adj" fmla="val 1109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0</xdr:row>
      <xdr:rowOff>99515</xdr:rowOff>
    </xdr:from>
    <xdr:to>
      <xdr:col>3</xdr:col>
      <xdr:colOff>460375</xdr:colOff>
      <xdr:row>65</xdr:row>
      <xdr:rowOff>81524</xdr:rowOff>
    </xdr:to>
    <xdr:grpSp>
      <xdr:nvGrpSpPr>
        <xdr:cNvPr id="5" name="Group 4">
          <a:extLst>
            <a:ext uri="{FF2B5EF4-FFF2-40B4-BE49-F238E27FC236}">
              <a16:creationId xmlns:a16="http://schemas.microsoft.com/office/drawing/2014/main" id="{7701BDA8-B997-4F9D-A598-25F518096E72}"/>
            </a:ext>
          </a:extLst>
        </xdr:cNvPr>
        <xdr:cNvGrpSpPr/>
      </xdr:nvGrpSpPr>
      <xdr:grpSpPr>
        <a:xfrm>
          <a:off x="0" y="99515"/>
          <a:ext cx="2480830" cy="12489585"/>
          <a:chOff x="0" y="101600"/>
          <a:chExt cx="2251971" cy="11994882"/>
        </a:xfrm>
      </xdr:grpSpPr>
      <xdr:sp macro="" textlink="">
        <xdr:nvSpPr>
          <xdr:cNvPr id="6" name="Rectangle 5">
            <a:extLst>
              <a:ext uri="{FF2B5EF4-FFF2-40B4-BE49-F238E27FC236}">
                <a16:creationId xmlns:a16="http://schemas.microsoft.com/office/drawing/2014/main" id="{68D91B29-273B-22E8-CB85-35DC728381FC}"/>
              </a:ext>
            </a:extLst>
          </xdr:cNvPr>
          <xdr:cNvSpPr/>
        </xdr:nvSpPr>
        <xdr:spPr>
          <a:xfrm>
            <a:off x="12700" y="101600"/>
            <a:ext cx="2151845" cy="11994882"/>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7" name="Graphic 6" descr="Home with solid fill">
            <a:extLst>
              <a:ext uri="{FF2B5EF4-FFF2-40B4-BE49-F238E27FC236}">
                <a16:creationId xmlns:a16="http://schemas.microsoft.com/office/drawing/2014/main" id="{E4E9A097-6A6B-F752-0399-414FA43B5EA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42900" y="238617"/>
            <a:ext cx="1396463" cy="1515235"/>
          </a:xfrm>
          <a:prstGeom prst="rect">
            <a:avLst/>
          </a:prstGeom>
        </xdr:spPr>
      </xdr:pic>
      <xdr:sp macro="" textlink="">
        <xdr:nvSpPr>
          <xdr:cNvPr id="8" name="Rectangle 7">
            <a:hlinkClick xmlns:r="http://schemas.openxmlformats.org/officeDocument/2006/relationships" r:id="rId3"/>
            <a:extLst>
              <a:ext uri="{FF2B5EF4-FFF2-40B4-BE49-F238E27FC236}">
                <a16:creationId xmlns:a16="http://schemas.microsoft.com/office/drawing/2014/main" id="{C398509A-A3DC-F365-774E-723BFF328799}"/>
              </a:ext>
            </a:extLst>
          </xdr:cNvPr>
          <xdr:cNvSpPr/>
        </xdr:nvSpPr>
        <xdr:spPr>
          <a:xfrm>
            <a:off x="13414" y="2683099"/>
            <a:ext cx="2125959" cy="91440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GB" sz="2400" b="1">
                <a:solidFill>
                  <a:sysClr val="windowText" lastClr="000000"/>
                </a:solidFill>
                <a:latin typeface="Comic Sans MS" panose="030F0702030302020204" pitchFamily="66" charset="0"/>
                <a:ea typeface="+mn-ea"/>
                <a:cs typeface="+mn-cs"/>
              </a:rPr>
              <a:t>OVERVIEW</a:t>
            </a:r>
          </a:p>
        </xdr:txBody>
      </xdr:sp>
      <xdr:sp macro="" textlink="">
        <xdr:nvSpPr>
          <xdr:cNvPr id="9" name="Rectangle 8">
            <a:extLst>
              <a:ext uri="{FF2B5EF4-FFF2-40B4-BE49-F238E27FC236}">
                <a16:creationId xmlns:a16="http://schemas.microsoft.com/office/drawing/2014/main" id="{FDB006E2-4B67-C616-4C4F-730DE26C8CEE}"/>
              </a:ext>
            </a:extLst>
          </xdr:cNvPr>
          <xdr:cNvSpPr/>
        </xdr:nvSpPr>
        <xdr:spPr>
          <a:xfrm>
            <a:off x="0" y="5360473"/>
            <a:ext cx="2251971" cy="914400"/>
          </a:xfrm>
          <a:prstGeom prst="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2400" b="1">
                <a:solidFill>
                  <a:sysClr val="windowText" lastClr="000000"/>
                </a:solidFill>
                <a:latin typeface="Comic Sans MS" panose="030F0702030302020204" pitchFamily="66" charset="0"/>
                <a:ea typeface="+mn-ea"/>
                <a:cs typeface="+mn-cs"/>
              </a:rPr>
              <a:t>ATTRITION</a:t>
            </a:r>
          </a:p>
        </xdr:txBody>
      </xdr:sp>
      <xdr:sp macro="" textlink="">
        <xdr:nvSpPr>
          <xdr:cNvPr id="10" name="Rectangle 9">
            <a:hlinkClick xmlns:r="http://schemas.openxmlformats.org/officeDocument/2006/relationships" r:id="rId4"/>
            <a:extLst>
              <a:ext uri="{FF2B5EF4-FFF2-40B4-BE49-F238E27FC236}">
                <a16:creationId xmlns:a16="http://schemas.microsoft.com/office/drawing/2014/main" id="{90137D3E-DCEC-FA68-2984-C55D09AF84D6}"/>
              </a:ext>
            </a:extLst>
          </xdr:cNvPr>
          <xdr:cNvSpPr/>
        </xdr:nvSpPr>
        <xdr:spPr>
          <a:xfrm>
            <a:off x="0" y="7963079"/>
            <a:ext cx="2146479" cy="91440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2000" b="1">
                <a:solidFill>
                  <a:sysClr val="windowText" lastClr="000000"/>
                </a:solidFill>
                <a:latin typeface="Comic Sans MS" panose="030F0702030302020204" pitchFamily="66" charset="0"/>
                <a:ea typeface="+mn-ea"/>
                <a:cs typeface="+mn-cs"/>
              </a:rPr>
              <a:t>PERFORMANCE</a:t>
            </a:r>
          </a:p>
        </xdr:txBody>
      </xdr:sp>
    </xdr:grpSp>
    <xdr:clientData/>
  </xdr:twoCellAnchor>
  <xdr:twoCellAnchor>
    <xdr:from>
      <xdr:col>3</xdr:col>
      <xdr:colOff>555625</xdr:colOff>
      <xdr:row>0</xdr:row>
      <xdr:rowOff>31750</xdr:rowOff>
    </xdr:from>
    <xdr:to>
      <xdr:col>34</xdr:col>
      <xdr:colOff>426772</xdr:colOff>
      <xdr:row>8</xdr:row>
      <xdr:rowOff>162873</xdr:rowOff>
    </xdr:to>
    <xdr:sp macro="" textlink="">
      <xdr:nvSpPr>
        <xdr:cNvPr id="11" name="Rectangle: Rounded Corners 10">
          <a:extLst>
            <a:ext uri="{FF2B5EF4-FFF2-40B4-BE49-F238E27FC236}">
              <a16:creationId xmlns:a16="http://schemas.microsoft.com/office/drawing/2014/main" id="{1C751A1A-356F-472F-BFBE-F008D60D0B23}"/>
            </a:ext>
          </a:extLst>
        </xdr:cNvPr>
        <xdr:cNvSpPr/>
      </xdr:nvSpPr>
      <xdr:spPr>
        <a:xfrm>
          <a:off x="2327275" y="31750"/>
          <a:ext cx="18178197" cy="165512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47625</xdr:colOff>
      <xdr:row>0</xdr:row>
      <xdr:rowOff>95250</xdr:rowOff>
    </xdr:from>
    <xdr:to>
      <xdr:col>28</xdr:col>
      <xdr:colOff>466726</xdr:colOff>
      <xdr:row>8</xdr:row>
      <xdr:rowOff>107156</xdr:rowOff>
    </xdr:to>
    <xdr:sp macro="" textlink="">
      <xdr:nvSpPr>
        <xdr:cNvPr id="12" name="TextBox 11">
          <a:extLst>
            <a:ext uri="{FF2B5EF4-FFF2-40B4-BE49-F238E27FC236}">
              <a16:creationId xmlns:a16="http://schemas.microsoft.com/office/drawing/2014/main" id="{FFC4E6F5-8057-46BB-B2D8-1AE295C6A6E0}"/>
            </a:ext>
          </a:extLst>
        </xdr:cNvPr>
        <xdr:cNvSpPr txBox="1"/>
      </xdr:nvSpPr>
      <xdr:spPr>
        <a:xfrm>
          <a:off x="5953125" y="95250"/>
          <a:ext cx="11049001" cy="1535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a:solidFill>
                <a:schemeClr val="bg1">
                  <a:lumMod val="95000"/>
                </a:schemeClr>
              </a:solidFill>
              <a:latin typeface="Amasis MT Pro Medium" panose="02040604050005020304" pitchFamily="18" charset="0"/>
            </a:rPr>
            <a:t>HR ANALYSIS</a:t>
          </a:r>
          <a:r>
            <a:rPr lang="en-US" sz="3600" b="1" baseline="0">
              <a:solidFill>
                <a:schemeClr val="bg1">
                  <a:lumMod val="95000"/>
                </a:schemeClr>
              </a:solidFill>
              <a:latin typeface="Amasis MT Pro Medium" panose="02040604050005020304" pitchFamily="18" charset="0"/>
            </a:rPr>
            <a:t> - EMPLOYEE ATTRITION DASHBOARD</a:t>
          </a:r>
          <a:endParaRPr lang="en-US" sz="3600" b="1">
            <a:solidFill>
              <a:schemeClr val="bg1">
                <a:lumMod val="95000"/>
              </a:schemeClr>
            </a:solidFill>
            <a:latin typeface="Amasis MT Pro Medium" panose="02040604050005020304" pitchFamily="18" charset="0"/>
          </a:endParaRPr>
        </a:p>
      </xdr:txBody>
    </xdr:sp>
    <xdr:clientData/>
  </xdr:twoCellAnchor>
  <xdr:twoCellAnchor>
    <xdr:from>
      <xdr:col>4</xdr:col>
      <xdr:colOff>380998</xdr:colOff>
      <xdr:row>10</xdr:row>
      <xdr:rowOff>31749</xdr:rowOff>
    </xdr:from>
    <xdr:to>
      <xdr:col>11</xdr:col>
      <xdr:colOff>508000</xdr:colOff>
      <xdr:row>16</xdr:row>
      <xdr:rowOff>63500</xdr:rowOff>
    </xdr:to>
    <xdr:sp macro="" textlink="Pivot_Engine!G3">
      <xdr:nvSpPr>
        <xdr:cNvPr id="13" name="Rectangle: Rounded Corners 12">
          <a:extLst>
            <a:ext uri="{FF2B5EF4-FFF2-40B4-BE49-F238E27FC236}">
              <a16:creationId xmlns:a16="http://schemas.microsoft.com/office/drawing/2014/main" id="{DF9D23DB-2ECF-4DE9-9E3D-E3089DBAA892}"/>
            </a:ext>
          </a:extLst>
        </xdr:cNvPr>
        <xdr:cNvSpPr/>
      </xdr:nvSpPr>
      <xdr:spPr>
        <a:xfrm>
          <a:off x="2743198" y="1936749"/>
          <a:ext cx="4260852" cy="1174751"/>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rgbClr val="000000"/>
              </a:solidFill>
              <a:latin typeface="Calibri"/>
              <a:ea typeface="Calibri"/>
              <a:cs typeface="Calibri"/>
            </a:rPr>
            <a:t>Attrited</a:t>
          </a:r>
          <a:r>
            <a:rPr lang="en-US" sz="1800" b="1" i="0" u="none" strike="noStrike" baseline="0">
              <a:solidFill>
                <a:srgbClr val="000000"/>
              </a:solidFill>
              <a:latin typeface="Calibri"/>
              <a:ea typeface="Calibri"/>
              <a:cs typeface="Calibri"/>
            </a:rPr>
            <a:t> Employees</a:t>
          </a:r>
        </a:p>
        <a:p>
          <a:pPr algn="ctr"/>
          <a:r>
            <a:rPr lang="en-US" sz="3200" b="1" i="0" u="none" strike="noStrike">
              <a:solidFill>
                <a:srgbClr val="000000"/>
              </a:solidFill>
              <a:latin typeface="Georgia" panose="02040502050405020303" pitchFamily="18" charset="0"/>
              <a:ea typeface="Calibri"/>
              <a:cs typeface="Calibri"/>
            </a:rPr>
            <a:t>82</a:t>
          </a:r>
        </a:p>
      </xdr:txBody>
    </xdr:sp>
    <xdr:clientData/>
  </xdr:twoCellAnchor>
  <xdr:twoCellAnchor>
    <xdr:from>
      <xdr:col>14</xdr:col>
      <xdr:colOff>453158</xdr:colOff>
      <xdr:row>10</xdr:row>
      <xdr:rowOff>47626</xdr:rowOff>
    </xdr:from>
    <xdr:to>
      <xdr:col>22</xdr:col>
      <xdr:colOff>334096</xdr:colOff>
      <xdr:row>16</xdr:row>
      <xdr:rowOff>79376</xdr:rowOff>
    </xdr:to>
    <xdr:sp macro="" textlink="Pivot_Engine!A7">
      <xdr:nvSpPr>
        <xdr:cNvPr id="14" name="Rectangle: Rounded Corners 13">
          <a:extLst>
            <a:ext uri="{FF2B5EF4-FFF2-40B4-BE49-F238E27FC236}">
              <a16:creationId xmlns:a16="http://schemas.microsoft.com/office/drawing/2014/main" id="{93D1D2A7-4E66-4414-B042-ADDCB703E5AD}"/>
            </a:ext>
          </a:extLst>
        </xdr:cNvPr>
        <xdr:cNvSpPr/>
      </xdr:nvSpPr>
      <xdr:spPr>
        <a:xfrm>
          <a:off x="8787533" y="1995921"/>
          <a:ext cx="4643438" cy="1200728"/>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rgbClr val="000000"/>
              </a:solidFill>
              <a:latin typeface="Calibri"/>
              <a:ea typeface="Calibri"/>
              <a:cs typeface="Calibri"/>
            </a:rPr>
            <a:t>Employee Attrition</a:t>
          </a:r>
          <a:r>
            <a:rPr lang="en-US" sz="1800" b="1" i="0" u="none" strike="noStrike" baseline="0">
              <a:solidFill>
                <a:srgbClr val="000000"/>
              </a:solidFill>
              <a:latin typeface="Calibri"/>
              <a:ea typeface="Calibri"/>
              <a:cs typeface="Calibri"/>
            </a:rPr>
            <a:t> Rate</a:t>
          </a:r>
        </a:p>
        <a:p>
          <a:pPr algn="ctr"/>
          <a:fld id="{E0083360-1482-4BFD-9549-5429B7542605}" type="TxLink">
            <a:rPr lang="en-US" sz="3200" b="1" i="0" u="none" strike="noStrike">
              <a:solidFill>
                <a:srgbClr val="000000"/>
              </a:solidFill>
              <a:latin typeface="Calibri"/>
              <a:ea typeface="Calibri"/>
              <a:cs typeface="Calibri"/>
            </a:rPr>
            <a:pPr algn="ctr"/>
            <a:t>16%</a:t>
          </a:fld>
          <a:endParaRPr lang="en-US" sz="3200" b="1" i="0" u="none" strike="noStrike">
            <a:solidFill>
              <a:srgbClr val="000000"/>
            </a:solidFill>
            <a:latin typeface="Calibri"/>
            <a:ea typeface="Calibri"/>
            <a:cs typeface="Calibri"/>
          </a:endParaRPr>
        </a:p>
      </xdr:txBody>
    </xdr:sp>
    <xdr:clientData/>
  </xdr:twoCellAnchor>
  <xdr:twoCellAnchor>
    <xdr:from>
      <xdr:col>26</xdr:col>
      <xdr:colOff>84426</xdr:colOff>
      <xdr:row>10</xdr:row>
      <xdr:rowOff>0</xdr:rowOff>
    </xdr:from>
    <xdr:to>
      <xdr:col>34</xdr:col>
      <xdr:colOff>481302</xdr:colOff>
      <xdr:row>16</xdr:row>
      <xdr:rowOff>31750</xdr:rowOff>
    </xdr:to>
    <xdr:sp macro="" textlink="Pivot_Engine!I7">
      <xdr:nvSpPr>
        <xdr:cNvPr id="15" name="Rectangle: Rounded Corners 14">
          <a:extLst>
            <a:ext uri="{FF2B5EF4-FFF2-40B4-BE49-F238E27FC236}">
              <a16:creationId xmlns:a16="http://schemas.microsoft.com/office/drawing/2014/main" id="{BD5174B6-030F-46C2-B583-181301D25174}"/>
            </a:ext>
          </a:extLst>
        </xdr:cNvPr>
        <xdr:cNvSpPr/>
      </xdr:nvSpPr>
      <xdr:spPr>
        <a:xfrm>
          <a:off x="15562551" y="1948295"/>
          <a:ext cx="5159376" cy="1200728"/>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rgbClr val="000000"/>
              </a:solidFill>
              <a:latin typeface="Calibri"/>
              <a:ea typeface="Calibri"/>
              <a:cs typeface="Calibri"/>
            </a:rPr>
            <a:t>Average Attrited Tenure</a:t>
          </a:r>
        </a:p>
        <a:p>
          <a:pPr algn="ctr"/>
          <a:fld id="{38232776-B957-4228-A2D7-FC35F01B82AD}" type="TxLink">
            <a:rPr lang="en-US" sz="3200" b="1" i="0" u="none" strike="noStrike">
              <a:solidFill>
                <a:srgbClr val="000000"/>
              </a:solidFill>
              <a:latin typeface="Calibri"/>
              <a:ea typeface="Calibri"/>
              <a:cs typeface="Calibri"/>
            </a:rPr>
            <a:pPr algn="ctr"/>
            <a:t>2</a:t>
          </a:fld>
          <a:endParaRPr lang="en-GB" sz="3200" b="1"/>
        </a:p>
      </xdr:txBody>
    </xdr:sp>
    <xdr:clientData/>
  </xdr:twoCellAnchor>
  <xdr:twoCellAnchor>
    <xdr:from>
      <xdr:col>4</xdr:col>
      <xdr:colOff>389522</xdr:colOff>
      <xdr:row>18</xdr:row>
      <xdr:rowOff>140367</xdr:rowOff>
    </xdr:from>
    <xdr:to>
      <xdr:col>18</xdr:col>
      <xdr:colOff>451183</xdr:colOff>
      <xdr:row>38</xdr:row>
      <xdr:rowOff>167104</xdr:rowOff>
    </xdr:to>
    <xdr:graphicFrame macro="">
      <xdr:nvGraphicFramePr>
        <xdr:cNvPr id="22" name="Chart 21">
          <a:extLst>
            <a:ext uri="{FF2B5EF4-FFF2-40B4-BE49-F238E27FC236}">
              <a16:creationId xmlns:a16="http://schemas.microsoft.com/office/drawing/2014/main" id="{0DF3D819-A1A1-49E8-B2D2-6A9A74F11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518026</xdr:colOff>
      <xdr:row>18</xdr:row>
      <xdr:rowOff>116974</xdr:rowOff>
    </xdr:from>
    <xdr:to>
      <xdr:col>34</xdr:col>
      <xdr:colOff>167106</xdr:colOff>
      <xdr:row>39</xdr:row>
      <xdr:rowOff>16710</xdr:rowOff>
    </xdr:to>
    <xdr:graphicFrame macro="">
      <xdr:nvGraphicFramePr>
        <xdr:cNvPr id="23" name="Chart 22">
          <a:extLst>
            <a:ext uri="{FF2B5EF4-FFF2-40B4-BE49-F238E27FC236}">
              <a16:creationId xmlns:a16="http://schemas.microsoft.com/office/drawing/2014/main" id="{71841D4C-C171-4E5B-B28B-E58F114643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117974</xdr:colOff>
      <xdr:row>41</xdr:row>
      <xdr:rowOff>162928</xdr:rowOff>
    </xdr:from>
    <xdr:to>
      <xdr:col>24</xdr:col>
      <xdr:colOff>501315</xdr:colOff>
      <xdr:row>61</xdr:row>
      <xdr:rowOff>116974</xdr:rowOff>
    </xdr:to>
    <xdr:graphicFrame macro="">
      <xdr:nvGraphicFramePr>
        <xdr:cNvPr id="24" name="Chart 23">
          <a:extLst>
            <a:ext uri="{FF2B5EF4-FFF2-40B4-BE49-F238E27FC236}">
              <a16:creationId xmlns:a16="http://schemas.microsoft.com/office/drawing/2014/main" id="{266169EE-A587-4876-8DC8-69DDCD121F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34</xdr:col>
      <xdr:colOff>559133</xdr:colOff>
      <xdr:row>17</xdr:row>
      <xdr:rowOff>172287</xdr:rowOff>
    </xdr:from>
    <xdr:to>
      <xdr:col>38</xdr:col>
      <xdr:colOff>100262</xdr:colOff>
      <xdr:row>39</xdr:row>
      <xdr:rowOff>150395</xdr:rowOff>
    </xdr:to>
    <mc:AlternateContent xmlns:mc="http://schemas.openxmlformats.org/markup-compatibility/2006" xmlns:a14="http://schemas.microsoft.com/office/drawing/2010/main">
      <mc:Choice Requires="a14">
        <xdr:graphicFrame macro="">
          <xdr:nvGraphicFramePr>
            <xdr:cNvPr id="25" name="Age_group">
              <a:extLst>
                <a:ext uri="{FF2B5EF4-FFF2-40B4-BE49-F238E27FC236}">
                  <a16:creationId xmlns:a16="http://schemas.microsoft.com/office/drawing/2014/main" id="{A3B9D519-29DA-E94E-78EA-E88EB895B3D5}"/>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20677088" y="3361719"/>
              <a:ext cx="1907947" cy="410560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32752</xdr:colOff>
      <xdr:row>40</xdr:row>
      <xdr:rowOff>130509</xdr:rowOff>
    </xdr:from>
    <xdr:to>
      <xdr:col>38</xdr:col>
      <xdr:colOff>106947</xdr:colOff>
      <xdr:row>62</xdr:row>
      <xdr:rowOff>16710</xdr:rowOff>
    </xdr:to>
    <mc:AlternateContent xmlns:mc="http://schemas.openxmlformats.org/markup-compatibility/2006" xmlns:a14="http://schemas.microsoft.com/office/drawing/2010/main">
      <mc:Choice Requires="a14">
        <xdr:graphicFrame macro="">
          <xdr:nvGraphicFramePr>
            <xdr:cNvPr id="26" name="Gender 1">
              <a:extLst>
                <a:ext uri="{FF2B5EF4-FFF2-40B4-BE49-F238E27FC236}">
                  <a16:creationId xmlns:a16="http://schemas.microsoft.com/office/drawing/2014/main" id="{4BE7D936-E289-B346-EE1E-0E67F8D8C86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0742411" y="7635054"/>
              <a:ext cx="1849309" cy="40137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245811</xdr:colOff>
      <xdr:row>40</xdr:row>
      <xdr:rowOff>92910</xdr:rowOff>
    </xdr:from>
    <xdr:to>
      <xdr:col>34</xdr:col>
      <xdr:colOff>434474</xdr:colOff>
      <xdr:row>62</xdr:row>
      <xdr:rowOff>33421</xdr:rowOff>
    </xdr:to>
    <mc:AlternateContent xmlns:mc="http://schemas.openxmlformats.org/markup-compatibility/2006" xmlns:a14="http://schemas.microsoft.com/office/drawing/2010/main">
      <mc:Choice Requires="a14">
        <xdr:graphicFrame macro="">
          <xdr:nvGraphicFramePr>
            <xdr:cNvPr id="27" name="Department 1">
              <a:extLst>
                <a:ext uri="{FF2B5EF4-FFF2-40B4-BE49-F238E27FC236}">
                  <a16:creationId xmlns:a16="http://schemas.microsoft.com/office/drawing/2014/main" id="{184D0757-78A0-B0C9-58F7-CD0302F380F6}"/>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5038425" y="7597455"/>
              <a:ext cx="5514004" cy="406801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95249</xdr:colOff>
      <xdr:row>40</xdr:row>
      <xdr:rowOff>79375</xdr:rowOff>
    </xdr:from>
    <xdr:to>
      <xdr:col>25</xdr:col>
      <xdr:colOff>126999</xdr:colOff>
      <xdr:row>62</xdr:row>
      <xdr:rowOff>142875</xdr:rowOff>
    </xdr:to>
    <xdr:sp macro="" textlink="">
      <xdr:nvSpPr>
        <xdr:cNvPr id="2" name="Rectangle: Rounded Corners 1">
          <a:extLst>
            <a:ext uri="{FF2B5EF4-FFF2-40B4-BE49-F238E27FC236}">
              <a16:creationId xmlns:a16="http://schemas.microsoft.com/office/drawing/2014/main" id="{E7D8AF47-68D0-4DE8-98F1-EBCF0B4D1A02}"/>
            </a:ext>
          </a:extLst>
        </xdr:cNvPr>
        <xdr:cNvSpPr/>
      </xdr:nvSpPr>
      <xdr:spPr>
        <a:xfrm>
          <a:off x="2457449" y="7699375"/>
          <a:ext cx="12433300" cy="4254500"/>
        </a:xfrm>
        <a:prstGeom prst="roundRect">
          <a:avLst>
            <a:gd name="adj" fmla="val 1109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254000</xdr:colOff>
      <xdr:row>17</xdr:row>
      <xdr:rowOff>95250</xdr:rowOff>
    </xdr:from>
    <xdr:to>
      <xdr:col>34</xdr:col>
      <xdr:colOff>428625</xdr:colOff>
      <xdr:row>39</xdr:row>
      <xdr:rowOff>174625</xdr:rowOff>
    </xdr:to>
    <xdr:sp macro="" textlink="">
      <xdr:nvSpPr>
        <xdr:cNvPr id="3" name="Rectangle: Rounded Corners 2">
          <a:extLst>
            <a:ext uri="{FF2B5EF4-FFF2-40B4-BE49-F238E27FC236}">
              <a16:creationId xmlns:a16="http://schemas.microsoft.com/office/drawing/2014/main" id="{C86640BC-3874-4260-AB4F-4D00A72BC2A3}"/>
            </a:ext>
          </a:extLst>
        </xdr:cNvPr>
        <xdr:cNvSpPr/>
      </xdr:nvSpPr>
      <xdr:spPr>
        <a:xfrm>
          <a:off x="11474450" y="3333750"/>
          <a:ext cx="9032875" cy="4270375"/>
        </a:xfrm>
        <a:prstGeom prst="roundRect">
          <a:avLst>
            <a:gd name="adj" fmla="val 1109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15876</xdr:colOff>
      <xdr:row>17</xdr:row>
      <xdr:rowOff>127000</xdr:rowOff>
    </xdr:from>
    <xdr:to>
      <xdr:col>19</xdr:col>
      <xdr:colOff>190501</xdr:colOff>
      <xdr:row>40</xdr:row>
      <xdr:rowOff>15875</xdr:rowOff>
    </xdr:to>
    <xdr:sp macro="" textlink="">
      <xdr:nvSpPr>
        <xdr:cNvPr id="4" name="Rectangle: Rounded Corners 3">
          <a:extLst>
            <a:ext uri="{FF2B5EF4-FFF2-40B4-BE49-F238E27FC236}">
              <a16:creationId xmlns:a16="http://schemas.microsoft.com/office/drawing/2014/main" id="{13A950D9-C3BF-49E3-8594-74629AFBCF0B}"/>
            </a:ext>
          </a:extLst>
        </xdr:cNvPr>
        <xdr:cNvSpPr/>
      </xdr:nvSpPr>
      <xdr:spPr>
        <a:xfrm>
          <a:off x="2378076" y="3365500"/>
          <a:ext cx="9032875" cy="4270375"/>
        </a:xfrm>
        <a:prstGeom prst="roundRect">
          <a:avLst>
            <a:gd name="adj" fmla="val 1109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0</xdr:row>
      <xdr:rowOff>0</xdr:rowOff>
    </xdr:from>
    <xdr:to>
      <xdr:col>3</xdr:col>
      <xdr:colOff>360982</xdr:colOff>
      <xdr:row>64</xdr:row>
      <xdr:rowOff>169622</xdr:rowOff>
    </xdr:to>
    <xdr:grpSp>
      <xdr:nvGrpSpPr>
        <xdr:cNvPr id="5" name="Group 4">
          <a:extLst>
            <a:ext uri="{FF2B5EF4-FFF2-40B4-BE49-F238E27FC236}">
              <a16:creationId xmlns:a16="http://schemas.microsoft.com/office/drawing/2014/main" id="{BB4723F8-6E6F-4A73-9B6B-9916078E89E1}"/>
            </a:ext>
          </a:extLst>
        </xdr:cNvPr>
        <xdr:cNvGrpSpPr/>
      </xdr:nvGrpSpPr>
      <xdr:grpSpPr>
        <a:xfrm>
          <a:off x="0" y="0"/>
          <a:ext cx="2366245" cy="13003306"/>
          <a:chOff x="0" y="3572"/>
          <a:chExt cx="2151845" cy="11994882"/>
        </a:xfrm>
      </xdr:grpSpPr>
      <xdr:sp macro="" textlink="">
        <xdr:nvSpPr>
          <xdr:cNvPr id="6" name="Rectangle 5">
            <a:extLst>
              <a:ext uri="{FF2B5EF4-FFF2-40B4-BE49-F238E27FC236}">
                <a16:creationId xmlns:a16="http://schemas.microsoft.com/office/drawing/2014/main" id="{EC80CE16-487D-D7A6-A53D-B5883AC89D8F}"/>
              </a:ext>
            </a:extLst>
          </xdr:cNvPr>
          <xdr:cNvSpPr/>
        </xdr:nvSpPr>
        <xdr:spPr>
          <a:xfrm>
            <a:off x="0" y="3572"/>
            <a:ext cx="2151845" cy="11994882"/>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7" name="Graphic 6" descr="Home with solid fill">
            <a:extLst>
              <a:ext uri="{FF2B5EF4-FFF2-40B4-BE49-F238E27FC236}">
                <a16:creationId xmlns:a16="http://schemas.microsoft.com/office/drawing/2014/main" id="{C28B2904-49FF-CD95-8FD3-3F22547519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42900" y="238617"/>
            <a:ext cx="1396463" cy="1515235"/>
          </a:xfrm>
          <a:prstGeom prst="rect">
            <a:avLst/>
          </a:prstGeom>
        </xdr:spPr>
      </xdr:pic>
      <xdr:sp macro="" textlink="">
        <xdr:nvSpPr>
          <xdr:cNvPr id="8" name="Rectangle 7">
            <a:hlinkClick xmlns:r="http://schemas.openxmlformats.org/officeDocument/2006/relationships" r:id="rId3"/>
            <a:extLst>
              <a:ext uri="{FF2B5EF4-FFF2-40B4-BE49-F238E27FC236}">
                <a16:creationId xmlns:a16="http://schemas.microsoft.com/office/drawing/2014/main" id="{0BED52AD-7588-EDF0-70EC-9E687723BC55}"/>
              </a:ext>
            </a:extLst>
          </xdr:cNvPr>
          <xdr:cNvSpPr/>
        </xdr:nvSpPr>
        <xdr:spPr>
          <a:xfrm>
            <a:off x="13414" y="2683099"/>
            <a:ext cx="2125959" cy="91440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GB" sz="2400" b="1">
                <a:solidFill>
                  <a:sysClr val="windowText" lastClr="000000"/>
                </a:solidFill>
                <a:latin typeface="Comic Sans MS" panose="030F0702030302020204" pitchFamily="66" charset="0"/>
                <a:ea typeface="+mn-ea"/>
                <a:cs typeface="+mn-cs"/>
              </a:rPr>
              <a:t>OVERVIEW</a:t>
            </a:r>
          </a:p>
        </xdr:txBody>
      </xdr:sp>
      <xdr:sp macro="" textlink="">
        <xdr:nvSpPr>
          <xdr:cNvPr id="9" name="Rectangle 8">
            <a:extLst>
              <a:ext uri="{FF2B5EF4-FFF2-40B4-BE49-F238E27FC236}">
                <a16:creationId xmlns:a16="http://schemas.microsoft.com/office/drawing/2014/main" id="{0963B0E2-8DBD-FF44-4C87-9EC729F8B4C7}"/>
              </a:ext>
            </a:extLst>
          </xdr:cNvPr>
          <xdr:cNvSpPr/>
        </xdr:nvSpPr>
        <xdr:spPr>
          <a:xfrm>
            <a:off x="1" y="5360473"/>
            <a:ext cx="2108043" cy="91440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2400" b="1">
                <a:solidFill>
                  <a:sysClr val="windowText" lastClr="000000"/>
                </a:solidFill>
                <a:latin typeface="Comic Sans MS" panose="030F0702030302020204" pitchFamily="66" charset="0"/>
                <a:ea typeface="+mn-ea"/>
                <a:cs typeface="+mn-cs"/>
              </a:rPr>
              <a:t>ATTRITION</a:t>
            </a:r>
          </a:p>
        </xdr:txBody>
      </xdr:sp>
      <xdr:sp macro="" textlink="">
        <xdr:nvSpPr>
          <xdr:cNvPr id="10" name="Rectangle 9">
            <a:hlinkClick xmlns:r="http://schemas.openxmlformats.org/officeDocument/2006/relationships" r:id="rId4"/>
            <a:extLst>
              <a:ext uri="{FF2B5EF4-FFF2-40B4-BE49-F238E27FC236}">
                <a16:creationId xmlns:a16="http://schemas.microsoft.com/office/drawing/2014/main" id="{62D947DD-3944-BCD0-3B4B-9FAF1C87BE5F}"/>
              </a:ext>
            </a:extLst>
          </xdr:cNvPr>
          <xdr:cNvSpPr/>
        </xdr:nvSpPr>
        <xdr:spPr>
          <a:xfrm>
            <a:off x="0" y="7963079"/>
            <a:ext cx="2146479" cy="91440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2000" b="1">
                <a:solidFill>
                  <a:sysClr val="windowText" lastClr="000000"/>
                </a:solidFill>
                <a:latin typeface="Comic Sans MS" panose="030F0702030302020204" pitchFamily="66" charset="0"/>
                <a:ea typeface="+mn-ea"/>
                <a:cs typeface="+mn-cs"/>
              </a:rPr>
              <a:t>PERFORMANCE</a:t>
            </a:r>
          </a:p>
        </xdr:txBody>
      </xdr:sp>
    </xdr:grpSp>
    <xdr:clientData/>
  </xdr:twoCellAnchor>
  <xdr:twoCellAnchor>
    <xdr:from>
      <xdr:col>3</xdr:col>
      <xdr:colOff>555625</xdr:colOff>
      <xdr:row>0</xdr:row>
      <xdr:rowOff>31750</xdr:rowOff>
    </xdr:from>
    <xdr:to>
      <xdr:col>34</xdr:col>
      <xdr:colOff>426772</xdr:colOff>
      <xdr:row>8</xdr:row>
      <xdr:rowOff>162873</xdr:rowOff>
    </xdr:to>
    <xdr:sp macro="" textlink="">
      <xdr:nvSpPr>
        <xdr:cNvPr id="11" name="Rectangle: Rounded Corners 10">
          <a:extLst>
            <a:ext uri="{FF2B5EF4-FFF2-40B4-BE49-F238E27FC236}">
              <a16:creationId xmlns:a16="http://schemas.microsoft.com/office/drawing/2014/main" id="{DD36048E-3127-487F-BCC0-8AF7D7E3EC41}"/>
            </a:ext>
          </a:extLst>
        </xdr:cNvPr>
        <xdr:cNvSpPr/>
      </xdr:nvSpPr>
      <xdr:spPr>
        <a:xfrm>
          <a:off x="2327275" y="31750"/>
          <a:ext cx="18178197" cy="165512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47625</xdr:colOff>
      <xdr:row>0</xdr:row>
      <xdr:rowOff>95250</xdr:rowOff>
    </xdr:from>
    <xdr:to>
      <xdr:col>28</xdr:col>
      <xdr:colOff>466726</xdr:colOff>
      <xdr:row>8</xdr:row>
      <xdr:rowOff>107156</xdr:rowOff>
    </xdr:to>
    <xdr:sp macro="" textlink="">
      <xdr:nvSpPr>
        <xdr:cNvPr id="12" name="TextBox 11">
          <a:extLst>
            <a:ext uri="{FF2B5EF4-FFF2-40B4-BE49-F238E27FC236}">
              <a16:creationId xmlns:a16="http://schemas.microsoft.com/office/drawing/2014/main" id="{328F6813-25A2-44FB-9248-023927FD4A0B}"/>
            </a:ext>
          </a:extLst>
        </xdr:cNvPr>
        <xdr:cNvSpPr txBox="1"/>
      </xdr:nvSpPr>
      <xdr:spPr>
        <a:xfrm>
          <a:off x="5953125" y="95250"/>
          <a:ext cx="11049001" cy="1535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a:solidFill>
                <a:schemeClr val="bg1">
                  <a:lumMod val="95000"/>
                </a:schemeClr>
              </a:solidFill>
              <a:latin typeface="Amasis MT Pro Medium" panose="02040604050005020304" pitchFamily="18" charset="0"/>
            </a:rPr>
            <a:t>HR ANALYSIS</a:t>
          </a:r>
          <a:r>
            <a:rPr lang="en-US" sz="3600" b="1" baseline="0">
              <a:solidFill>
                <a:schemeClr val="bg1">
                  <a:lumMod val="95000"/>
                </a:schemeClr>
              </a:solidFill>
              <a:latin typeface="Amasis MT Pro Medium" panose="02040604050005020304" pitchFamily="18" charset="0"/>
            </a:rPr>
            <a:t> - EMPLOYEE PERFORMANCE DASHBOARD</a:t>
          </a:r>
          <a:endParaRPr lang="en-US" sz="3600" b="1">
            <a:solidFill>
              <a:schemeClr val="bg1">
                <a:lumMod val="95000"/>
              </a:schemeClr>
            </a:solidFill>
            <a:latin typeface="Amasis MT Pro Medium" panose="02040604050005020304" pitchFamily="18" charset="0"/>
          </a:endParaRPr>
        </a:p>
      </xdr:txBody>
    </xdr:sp>
    <xdr:clientData/>
  </xdr:twoCellAnchor>
  <xdr:twoCellAnchor>
    <xdr:from>
      <xdr:col>4</xdr:col>
      <xdr:colOff>380998</xdr:colOff>
      <xdr:row>10</xdr:row>
      <xdr:rowOff>31749</xdr:rowOff>
    </xdr:from>
    <xdr:to>
      <xdr:col>11</xdr:col>
      <xdr:colOff>508000</xdr:colOff>
      <xdr:row>16</xdr:row>
      <xdr:rowOff>63500</xdr:rowOff>
    </xdr:to>
    <xdr:sp macro="" textlink="Pivot_Engine!C7">
      <xdr:nvSpPr>
        <xdr:cNvPr id="13" name="Rectangle: Rounded Corners 12">
          <a:extLst>
            <a:ext uri="{FF2B5EF4-FFF2-40B4-BE49-F238E27FC236}">
              <a16:creationId xmlns:a16="http://schemas.microsoft.com/office/drawing/2014/main" id="{48F9B9BF-CD12-475E-B52F-9DBA5590E539}"/>
            </a:ext>
          </a:extLst>
        </xdr:cNvPr>
        <xdr:cNvSpPr/>
      </xdr:nvSpPr>
      <xdr:spPr>
        <a:xfrm>
          <a:off x="2720472" y="1869907"/>
          <a:ext cx="4221081" cy="1134646"/>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0" u="none" strike="noStrike" baseline="0">
              <a:solidFill>
                <a:srgbClr val="000000"/>
              </a:solidFill>
              <a:latin typeface="Calibri"/>
              <a:ea typeface="Calibri"/>
              <a:cs typeface="Calibri"/>
            </a:rPr>
            <a:t>Average Performance Rating</a:t>
          </a:r>
        </a:p>
        <a:p>
          <a:pPr algn="ctr"/>
          <a:fld id="{A6455A49-ADE6-4809-9D8E-C25A2C3E3C10}" type="TxLink">
            <a:rPr lang="en-US" sz="2400" b="1" i="0" u="none" strike="noStrike" baseline="0">
              <a:solidFill>
                <a:srgbClr val="000000"/>
              </a:solidFill>
              <a:latin typeface="Calibri"/>
              <a:ea typeface="Calibri"/>
              <a:cs typeface="Calibri"/>
            </a:rPr>
            <a:pPr algn="ctr"/>
            <a:t>3.21</a:t>
          </a:fld>
          <a:endParaRPr lang="en-US" sz="2400" b="1" i="0" u="none" strike="noStrike" baseline="0">
            <a:solidFill>
              <a:srgbClr val="000000"/>
            </a:solidFill>
            <a:latin typeface="Calibri"/>
            <a:ea typeface="Calibri"/>
            <a:cs typeface="Calibri"/>
          </a:endParaRPr>
        </a:p>
      </xdr:txBody>
    </xdr:sp>
    <xdr:clientData/>
  </xdr:twoCellAnchor>
  <xdr:twoCellAnchor>
    <xdr:from>
      <xdr:col>14</xdr:col>
      <xdr:colOff>453158</xdr:colOff>
      <xdr:row>10</xdr:row>
      <xdr:rowOff>47626</xdr:rowOff>
    </xdr:from>
    <xdr:to>
      <xdr:col>22</xdr:col>
      <xdr:colOff>334096</xdr:colOff>
      <xdr:row>16</xdr:row>
      <xdr:rowOff>79376</xdr:rowOff>
    </xdr:to>
    <xdr:sp macro="" textlink="Pivot_Engine!E7">
      <xdr:nvSpPr>
        <xdr:cNvPr id="14" name="Rectangle: Rounded Corners 13">
          <a:extLst>
            <a:ext uri="{FF2B5EF4-FFF2-40B4-BE49-F238E27FC236}">
              <a16:creationId xmlns:a16="http://schemas.microsoft.com/office/drawing/2014/main" id="{3966D496-5529-472C-B851-1E259607DC10}"/>
            </a:ext>
          </a:extLst>
        </xdr:cNvPr>
        <xdr:cNvSpPr/>
      </xdr:nvSpPr>
      <xdr:spPr>
        <a:xfrm>
          <a:off x="8720858" y="1952626"/>
          <a:ext cx="4605338" cy="1174750"/>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0" u="none" strike="noStrike">
              <a:solidFill>
                <a:srgbClr val="000000"/>
              </a:solidFill>
              <a:latin typeface="Calibri"/>
              <a:ea typeface="Calibri"/>
              <a:cs typeface="Calibri"/>
            </a:rPr>
            <a:t>Average Employee Attendance</a:t>
          </a:r>
        </a:p>
        <a:p>
          <a:pPr algn="ctr"/>
          <a:fld id="{2FEC1AB3-C0E1-482B-BB53-FB82EA9EFEC2}" type="TxLink">
            <a:rPr lang="en-US" sz="2400" b="1" i="0" u="none" strike="noStrike">
              <a:solidFill>
                <a:srgbClr val="000000"/>
              </a:solidFill>
              <a:latin typeface="Calibri"/>
              <a:ea typeface="Calibri"/>
              <a:cs typeface="Calibri"/>
            </a:rPr>
            <a:pPr algn="ctr"/>
            <a:t>82.60</a:t>
          </a:fld>
          <a:endParaRPr lang="en-US" sz="2400" b="1" i="0" u="none" strike="noStrike">
            <a:solidFill>
              <a:srgbClr val="000000"/>
            </a:solidFill>
            <a:latin typeface="Calibri"/>
            <a:ea typeface="Calibri"/>
            <a:cs typeface="Calibri"/>
          </a:endParaRPr>
        </a:p>
      </xdr:txBody>
    </xdr:sp>
    <xdr:clientData/>
  </xdr:twoCellAnchor>
  <xdr:twoCellAnchor>
    <xdr:from>
      <xdr:col>26</xdr:col>
      <xdr:colOff>84426</xdr:colOff>
      <xdr:row>10</xdr:row>
      <xdr:rowOff>0</xdr:rowOff>
    </xdr:from>
    <xdr:to>
      <xdr:col>34</xdr:col>
      <xdr:colOff>481302</xdr:colOff>
      <xdr:row>16</xdr:row>
      <xdr:rowOff>31750</xdr:rowOff>
    </xdr:to>
    <xdr:sp macro="" textlink="Pivot_Engine!G7">
      <xdr:nvSpPr>
        <xdr:cNvPr id="15" name="Rectangle: Rounded Corners 14">
          <a:extLst>
            <a:ext uri="{FF2B5EF4-FFF2-40B4-BE49-F238E27FC236}">
              <a16:creationId xmlns:a16="http://schemas.microsoft.com/office/drawing/2014/main" id="{AE753B4F-21E6-4F6A-B7BF-61C767CF2813}"/>
            </a:ext>
          </a:extLst>
        </xdr:cNvPr>
        <xdr:cNvSpPr/>
      </xdr:nvSpPr>
      <xdr:spPr>
        <a:xfrm>
          <a:off x="15438726" y="1905000"/>
          <a:ext cx="5121276" cy="1174750"/>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0" u="none" strike="noStrike">
              <a:solidFill>
                <a:srgbClr val="000000"/>
              </a:solidFill>
              <a:latin typeface="Calibri"/>
              <a:ea typeface="Calibri"/>
              <a:cs typeface="Calibri"/>
            </a:rPr>
            <a:t>Average Training</a:t>
          </a:r>
          <a:r>
            <a:rPr lang="en-US" sz="2400" b="1" i="0" u="none" strike="noStrike" baseline="0">
              <a:solidFill>
                <a:srgbClr val="000000"/>
              </a:solidFill>
              <a:latin typeface="Calibri"/>
              <a:ea typeface="Calibri"/>
              <a:cs typeface="Calibri"/>
            </a:rPr>
            <a:t> Hours</a:t>
          </a:r>
        </a:p>
        <a:p>
          <a:pPr algn="ctr"/>
          <a:fld id="{F2BE6E83-20A1-45B5-8231-07EAD4ACD5FA}" type="TxLink">
            <a:rPr lang="en-US" sz="2400" b="1" i="0" u="none" strike="noStrike">
              <a:solidFill>
                <a:srgbClr val="000000"/>
              </a:solidFill>
              <a:latin typeface="Calibri"/>
              <a:ea typeface="Calibri"/>
              <a:cs typeface="Calibri"/>
            </a:rPr>
            <a:pPr algn="ctr"/>
            <a:t>26</a:t>
          </a:fld>
          <a:endParaRPr lang="en-US" sz="2400" b="1" i="0" u="none" strike="noStrike">
            <a:solidFill>
              <a:srgbClr val="000000"/>
            </a:solidFill>
            <a:latin typeface="Calibri"/>
            <a:ea typeface="Calibri"/>
            <a:cs typeface="Calibri"/>
          </a:endParaRPr>
        </a:p>
      </xdr:txBody>
    </xdr:sp>
    <xdr:clientData/>
  </xdr:twoCellAnchor>
  <xdr:twoCellAnchor>
    <xdr:from>
      <xdr:col>4</xdr:col>
      <xdr:colOff>227735</xdr:colOff>
      <xdr:row>18</xdr:row>
      <xdr:rowOff>147204</xdr:rowOff>
    </xdr:from>
    <xdr:to>
      <xdr:col>18</xdr:col>
      <xdr:colOff>577273</xdr:colOff>
      <xdr:row>39</xdr:row>
      <xdr:rowOff>43294</xdr:rowOff>
    </xdr:to>
    <xdr:graphicFrame macro="">
      <xdr:nvGraphicFramePr>
        <xdr:cNvPr id="22" name="Chart 21">
          <a:extLst>
            <a:ext uri="{FF2B5EF4-FFF2-40B4-BE49-F238E27FC236}">
              <a16:creationId xmlns:a16="http://schemas.microsoft.com/office/drawing/2014/main" id="{76F5AE5B-4338-47A9-84D6-65A5DCF8C4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44449</xdr:colOff>
      <xdr:row>18</xdr:row>
      <xdr:rowOff>144318</xdr:rowOff>
    </xdr:from>
    <xdr:to>
      <xdr:col>34</xdr:col>
      <xdr:colOff>43294</xdr:colOff>
      <xdr:row>38</xdr:row>
      <xdr:rowOff>129886</xdr:rowOff>
    </xdr:to>
    <xdr:graphicFrame macro="">
      <xdr:nvGraphicFramePr>
        <xdr:cNvPr id="23" name="Chart 22">
          <a:extLst>
            <a:ext uri="{FF2B5EF4-FFF2-40B4-BE49-F238E27FC236}">
              <a16:creationId xmlns:a16="http://schemas.microsoft.com/office/drawing/2014/main" id="{AC165652-D5A1-47C6-BD24-BC84C8EAA8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307109</xdr:colOff>
      <xdr:row>41</xdr:row>
      <xdr:rowOff>50511</xdr:rowOff>
    </xdr:from>
    <xdr:to>
      <xdr:col>24</xdr:col>
      <xdr:colOff>461818</xdr:colOff>
      <xdr:row>61</xdr:row>
      <xdr:rowOff>144318</xdr:rowOff>
    </xdr:to>
    <xdr:graphicFrame macro="">
      <xdr:nvGraphicFramePr>
        <xdr:cNvPr id="24" name="Chart 23">
          <a:extLst>
            <a:ext uri="{FF2B5EF4-FFF2-40B4-BE49-F238E27FC236}">
              <a16:creationId xmlns:a16="http://schemas.microsoft.com/office/drawing/2014/main" id="{8C801A0D-34DC-4B25-97B1-C9D898A047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35</xdr:col>
      <xdr:colOff>105776</xdr:colOff>
      <xdr:row>17</xdr:row>
      <xdr:rowOff>132013</xdr:rowOff>
    </xdr:from>
    <xdr:to>
      <xdr:col>39</xdr:col>
      <xdr:colOff>284078</xdr:colOff>
      <xdr:row>40</xdr:row>
      <xdr:rowOff>0</xdr:rowOff>
    </xdr:to>
    <mc:AlternateContent xmlns:mc="http://schemas.openxmlformats.org/markup-compatibility/2006" xmlns:a14="http://schemas.microsoft.com/office/drawing/2010/main">
      <mc:Choice Requires="a14">
        <xdr:graphicFrame macro="">
          <xdr:nvGraphicFramePr>
            <xdr:cNvPr id="25" name="Age_group 1">
              <a:extLst>
                <a:ext uri="{FF2B5EF4-FFF2-40B4-BE49-F238E27FC236}">
                  <a16:creationId xmlns:a16="http://schemas.microsoft.com/office/drawing/2014/main" id="{42159779-64D8-0E8B-54CB-56A2E576387B}"/>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20576171" y="3256881"/>
              <a:ext cx="2517775" cy="409575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118311</xdr:colOff>
      <xdr:row>40</xdr:row>
      <xdr:rowOff>144546</xdr:rowOff>
    </xdr:from>
    <xdr:to>
      <xdr:col>39</xdr:col>
      <xdr:colOff>250658</xdr:colOff>
      <xdr:row>62</xdr:row>
      <xdr:rowOff>133684</xdr:rowOff>
    </xdr:to>
    <mc:AlternateContent xmlns:mc="http://schemas.openxmlformats.org/markup-compatibility/2006" xmlns:a14="http://schemas.microsoft.com/office/drawing/2010/main">
      <mc:Choice Requires="a14">
        <xdr:graphicFrame macro="">
          <xdr:nvGraphicFramePr>
            <xdr:cNvPr id="26" name="Gender 2">
              <a:extLst>
                <a:ext uri="{FF2B5EF4-FFF2-40B4-BE49-F238E27FC236}">
                  <a16:creationId xmlns:a16="http://schemas.microsoft.com/office/drawing/2014/main" id="{6992A9A9-59A9-88F4-641A-0AF41B56D8A4}"/>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20588706" y="7497178"/>
              <a:ext cx="2471820" cy="40330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233948</xdr:colOff>
      <xdr:row>40</xdr:row>
      <xdr:rowOff>133685</xdr:rowOff>
    </xdr:from>
    <xdr:to>
      <xdr:col>34</xdr:col>
      <xdr:colOff>401053</xdr:colOff>
      <xdr:row>62</xdr:row>
      <xdr:rowOff>83554</xdr:rowOff>
    </xdr:to>
    <mc:AlternateContent xmlns:mc="http://schemas.openxmlformats.org/markup-compatibility/2006" xmlns:a14="http://schemas.microsoft.com/office/drawing/2010/main">
      <mc:Choice Requires="a14">
        <xdr:graphicFrame macro="">
          <xdr:nvGraphicFramePr>
            <xdr:cNvPr id="27" name="Job_Role 1">
              <a:extLst>
                <a:ext uri="{FF2B5EF4-FFF2-40B4-BE49-F238E27FC236}">
                  <a16:creationId xmlns:a16="http://schemas.microsoft.com/office/drawing/2014/main" id="{263CE3B6-8D84-3B6D-49CD-DC3B66A5A9A3}"/>
                </a:ext>
              </a:extLst>
            </xdr:cNvPr>
            <xdr:cNvGraphicFramePr/>
          </xdr:nvGraphicFramePr>
          <xdr:xfrm>
            <a:off x="0" y="0"/>
            <a:ext cx="0" cy="0"/>
          </xdr:xfrm>
          <a:graphic>
            <a:graphicData uri="http://schemas.microsoft.com/office/drawing/2010/slicer">
              <sle:slicer xmlns:sle="http://schemas.microsoft.com/office/drawing/2010/slicer" name="Job_Role 1"/>
            </a:graphicData>
          </a:graphic>
        </xdr:graphicFrame>
      </mc:Choice>
      <mc:Fallback xmlns="">
        <xdr:sp macro="" textlink="">
          <xdr:nvSpPr>
            <xdr:cNvPr id="0" name=""/>
            <xdr:cNvSpPr>
              <a:spLocks noTextEdit="1"/>
            </xdr:cNvSpPr>
          </xdr:nvSpPr>
          <xdr:spPr>
            <a:xfrm>
              <a:off x="14855659" y="7486317"/>
              <a:ext cx="5430920" cy="399381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ope Adeleye" refreshedDate="46153.978322569441" backgroundQuery="1" createdVersion="8" refreshedVersion="8" minRefreshableVersion="3" recordCount="0" supportSubquery="1" supportAdvancedDrill="1" xr:uid="{0C3C78CB-9A1E-4667-A418-D86EAECA3824}">
  <cacheSource type="external" connectionId="1"/>
  <cacheFields count="1">
    <cacheField name="[Measures].[Average of Attendance_%]" caption="Average of Attendance_%" numFmtId="0" hierarchy="34" level="32767"/>
  </cacheFields>
  <cacheHierarchies count="39">
    <cacheHierarchy uniqueName="[Table1].[Employee_ID]" caption="Employee_ID" attribute="1" defaultMemberUniqueName="[Table1].[Employee_ID].[All]" allUniqueName="[Table1].[Employee_ID].[All]" dimensionUniqueName="[Table1]" displayFolder="" count="0" memberValueDatatype="2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Job_Role]" caption="Job_Role" attribute="1" defaultMemberUniqueName="[Table1].[Job_Role].[All]" allUniqueName="[Table1].[Job_Role].[All]" dimensionUniqueName="[Table1]" displayFolder="" count="0" memberValueDatatype="130" unbalanced="0"/>
    <cacheHierarchy uniqueName="[Table1].[Salary]" caption="Salary" attribute="1" defaultMemberUniqueName="[Table1].[Salary].[All]" allUniqueName="[Table1].[Salary].[All]" dimensionUniqueName="[Table1]" displayFolder="" count="0" memberValueDatatype="20" unbalanced="0"/>
    <cacheHierarchy uniqueName="[Table1].[Hire_Date]" caption="Hire_Date" attribute="1" defaultMemberUniqueName="[Table1].[Hire_Date].[All]" allUniqueName="[Table1].[Hire_Date].[All]" dimensionUniqueName="[Table1]" displayFolder="" count="0" memberValueDatatype="130" unbalanced="0"/>
    <cacheHierarchy uniqueName="[Table1].[Exit_Date]" caption="Exit_Date" attribute="1" defaultMemberUniqueName="[Table1].[Exit_Date].[All]" allUniqueName="[Table1].[Exit_Date].[All]" dimensionUniqueName="[Table1]" displayFolder="" count="0" memberValueDatatype="130" unbalanced="0"/>
    <cacheHierarchy uniqueName="[Table1].[Employment_Status]" caption="Employment_Status" attribute="1" defaultMemberUniqueName="[Table1].[Employment_Status].[All]" allUniqueName="[Table1].[Employment_Status].[All]" dimensionUniqueName="[Table1]" displayFolder="" count="0" memberValueDatatype="130" unbalanced="0"/>
    <cacheHierarchy uniqueName="[Table1].[Performance_Rating]" caption="Performance_Rating" attribute="1" defaultMemberUniqueName="[Table1].[Performance_Rating].[All]" allUniqueName="[Table1].[Performance_Rating].[All]" dimensionUniqueName="[Table1]" displayFolder="" count="0" memberValueDatatype="20" unbalanced="0"/>
    <cacheHierarchy uniqueName="[Table1].[Training_Hours]" caption="Training_Hours" attribute="1" defaultMemberUniqueName="[Table1].[Training_Hours].[All]" allUniqueName="[Table1].[Training_Hours].[All]" dimensionUniqueName="[Table1]" displayFolder="" count="0" memberValueDatatype="20" unbalanced="0"/>
    <cacheHierarchy uniqueName="[Table1].[Attendance_%]" caption="Attendance_%" attribute="1" defaultMemberUniqueName="[Table1].[Attendance_%].[All]" allUniqueName="[Table1].[Attendance_%].[All]" dimensionUniqueName="[Table1]" displayFolder="" count="0" memberValueDatatype="20" unbalanced="0"/>
    <cacheHierarchy uniqueName="[Table1].[Attrition_Flag]" caption="Attrition_Flag" attribute="1" defaultMemberUniqueName="[Table1].[Attrition_Flag].[All]" allUniqueName="[Table1].[Attrition_Flag].[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Active_Flag]" caption="Active_Flag" attribute="1" defaultMemberUniqueName="[Table1].[Active_Flag].[All]" allUniqueName="[Table1].[Active_Flag].[All]" dimensionUniqueName="[Table1]" displayFolder="" count="0" memberValueDatatype="20" unbalanced="0"/>
    <cacheHierarchy uniqueName="[Table1].[employee count]" caption="employee count" attribute="1" defaultMemberUniqueName="[Table1].[employee count].[All]" allUniqueName="[Table1].[employee count].[All]" dimensionUniqueName="[Table1]" displayFolder="" count="0" memberValueDatatype="20" unbalanced="0"/>
    <cacheHierarchy uniqueName="[Table1].[Tenure]" caption="Tenure" attribute="1" defaultMemberUniqueName="[Table1].[Tenure].[All]" allUniqueName="[Table1].[Tenure].[All]" dimensionUniqueName="[Table1]" displayFolder="" count="0" memberValueDatatype="5" unbalanced="0"/>
    <cacheHierarchy uniqueName="[Table1].[tenure_group]" caption="tenure_group" attribute="1" defaultMemberUniqueName="[Table1].[tenure_group].[All]" allUniqueName="[Table1].[tenure_group].[All]" dimensionUniqueName="[Table1]" displayFolder="" count="0" memberValueDatatype="130" unbalanced="0"/>
    <cacheHierarchy uniqueName="[Table1].[Salary band]" caption="Salary band" attribute="1" defaultMemberUniqueName="[Table1].[Salary band].[All]" allUniqueName="[Table1].[Salary band].[All]" dimensionUniqueName="[Table1]" displayFolder="" count="0" memberValueDatatype="130" unbalanced="0"/>
    <cacheHierarchy uniqueName="[Measures].[Attrition Rate]" caption="Attrition Rate" measure="1" displayFolder="" measureGroup="Table1" count="0"/>
    <cacheHierarchy uniqueName="[Measures].[Attrited employees]" caption="Attrited employees" measure="1" displayFolder="" measureGroup="Table1" count="0"/>
    <cacheHierarchy uniqueName="[Measures].[Average Tenure_Attrited]" caption="Average Tenure_Attrited"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_ID]" caption="Sum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Active_Flag]" caption="Sum of Active_Flag" measure="1" displayFolder="" measureGroup="Table1"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3"/>
        </ext>
      </extLst>
    </cacheHierarchy>
    <cacheHierarchy uniqueName="[Measures].[Sum of Attrition_Flag]" caption="Sum of Attrition_Flag" measure="1" displayFolder="" measureGroup="Table1" count="0" hidden="1">
      <extLst>
        <ext xmlns:x15="http://schemas.microsoft.com/office/spreadsheetml/2010/11/main" uri="{B97F6D7D-B522-45F9-BDA1-12C45D357490}">
          <x15:cacheHierarchy aggregatedColumn="13"/>
        </ext>
      </extLst>
    </cacheHierarchy>
    <cacheHierarchy uniqueName="[Measures].[Count of Employee_ID]" caption="Count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Performance_Rating]" caption="Sum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Average of Performance_Rating]" caption="Average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Sum of Attendance_%]" caption="Sum of Attendance_%" measure="1" displayFolder="" measureGroup="Table1" count="0" hidden="1">
      <extLst>
        <ext xmlns:x15="http://schemas.microsoft.com/office/spreadsheetml/2010/11/main" uri="{B97F6D7D-B522-45F9-BDA1-12C45D357490}">
          <x15:cacheHierarchy aggregatedColumn="12"/>
        </ext>
      </extLst>
    </cacheHierarchy>
    <cacheHierarchy uniqueName="[Measures].[Average of Attendance_%]" caption="Average of Attendance_%" measure="1" displayFolder="" measureGroup="Table1"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Training_Hours]" caption="Sum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Average of Training_Hours]" caption="Average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17"/>
        </ext>
      </extLst>
    </cacheHierarchy>
    <cacheHierarchy uniqueName="[Measures].[Average of Tenure]" caption="Average of Tenure"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ope Adeleye" refreshedDate="46153.978317824076" backgroundQuery="1" createdVersion="8" refreshedVersion="8" minRefreshableVersion="3" recordCount="0" supportSubquery="1" supportAdvancedDrill="1" xr:uid="{41BB9C2E-38B1-4105-A11B-29B00CEB6FA8}">
  <cacheSource type="external" connectionId="1"/>
  <cacheFields count="1">
    <cacheField name="[Measures].[Average of Tenure]" caption="Average of Tenure" numFmtId="0" hierarchy="38" level="32767"/>
  </cacheFields>
  <cacheHierarchies count="39">
    <cacheHierarchy uniqueName="[Table1].[Employee_ID]" caption="Employee_ID" attribute="1" defaultMemberUniqueName="[Table1].[Employee_ID].[All]" allUniqueName="[Table1].[Employee_ID].[All]" dimensionUniqueName="[Table1]" displayFolder="" count="0" memberValueDatatype="2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Job_Role]" caption="Job_Role" attribute="1" defaultMemberUniqueName="[Table1].[Job_Role].[All]" allUniqueName="[Table1].[Job_Role].[All]" dimensionUniqueName="[Table1]" displayFolder="" count="0" memberValueDatatype="130" unbalanced="0"/>
    <cacheHierarchy uniqueName="[Table1].[Salary]" caption="Salary" attribute="1" defaultMemberUniqueName="[Table1].[Salary].[All]" allUniqueName="[Table1].[Salary].[All]" dimensionUniqueName="[Table1]" displayFolder="" count="0" memberValueDatatype="20" unbalanced="0"/>
    <cacheHierarchy uniqueName="[Table1].[Hire_Date]" caption="Hire_Date" attribute="1" defaultMemberUniqueName="[Table1].[Hire_Date].[All]" allUniqueName="[Table1].[Hire_Date].[All]" dimensionUniqueName="[Table1]" displayFolder="" count="0" memberValueDatatype="130" unbalanced="0"/>
    <cacheHierarchy uniqueName="[Table1].[Exit_Date]" caption="Exit_Date" attribute="1" defaultMemberUniqueName="[Table1].[Exit_Date].[All]" allUniqueName="[Table1].[Exit_Date].[All]" dimensionUniqueName="[Table1]" displayFolder="" count="0" memberValueDatatype="130" unbalanced="0"/>
    <cacheHierarchy uniqueName="[Table1].[Employment_Status]" caption="Employment_Status" attribute="1" defaultMemberUniqueName="[Table1].[Employment_Status].[All]" allUniqueName="[Table1].[Employment_Status].[All]" dimensionUniqueName="[Table1]" displayFolder="" count="0" memberValueDatatype="130" unbalanced="0"/>
    <cacheHierarchy uniqueName="[Table1].[Performance_Rating]" caption="Performance_Rating" attribute="1" defaultMemberUniqueName="[Table1].[Performance_Rating].[All]" allUniqueName="[Table1].[Performance_Rating].[All]" dimensionUniqueName="[Table1]" displayFolder="" count="0" memberValueDatatype="20" unbalanced="0"/>
    <cacheHierarchy uniqueName="[Table1].[Training_Hours]" caption="Training_Hours" attribute="1" defaultMemberUniqueName="[Table1].[Training_Hours].[All]" allUniqueName="[Table1].[Training_Hours].[All]" dimensionUniqueName="[Table1]" displayFolder="" count="0" memberValueDatatype="20" unbalanced="0"/>
    <cacheHierarchy uniqueName="[Table1].[Attendance_%]" caption="Attendance_%" attribute="1" defaultMemberUniqueName="[Table1].[Attendance_%].[All]" allUniqueName="[Table1].[Attendance_%].[All]" dimensionUniqueName="[Table1]" displayFolder="" count="0" memberValueDatatype="20" unbalanced="0"/>
    <cacheHierarchy uniqueName="[Table1].[Attrition_Flag]" caption="Attrition_Flag" attribute="1" defaultMemberUniqueName="[Table1].[Attrition_Flag].[All]" allUniqueName="[Table1].[Attrition_Flag].[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Active_Flag]" caption="Active_Flag" attribute="1" defaultMemberUniqueName="[Table1].[Active_Flag].[All]" allUniqueName="[Table1].[Active_Flag].[All]" dimensionUniqueName="[Table1]" displayFolder="" count="0" memberValueDatatype="20" unbalanced="0"/>
    <cacheHierarchy uniqueName="[Table1].[employee count]" caption="employee count" attribute="1" defaultMemberUniqueName="[Table1].[employee count].[All]" allUniqueName="[Table1].[employee count].[All]" dimensionUniqueName="[Table1]" displayFolder="" count="0" memberValueDatatype="20" unbalanced="0"/>
    <cacheHierarchy uniqueName="[Table1].[Tenure]" caption="Tenure" attribute="1" defaultMemberUniqueName="[Table1].[Tenure].[All]" allUniqueName="[Table1].[Tenure].[All]" dimensionUniqueName="[Table1]" displayFolder="" count="0" memberValueDatatype="5" unbalanced="0"/>
    <cacheHierarchy uniqueName="[Table1].[tenure_group]" caption="tenure_group" attribute="1" defaultMemberUniqueName="[Table1].[tenure_group].[All]" allUniqueName="[Table1].[tenure_group].[All]" dimensionUniqueName="[Table1]" displayFolder="" count="0" memberValueDatatype="130" unbalanced="0"/>
    <cacheHierarchy uniqueName="[Table1].[Salary band]" caption="Salary band" attribute="1" defaultMemberUniqueName="[Table1].[Salary band].[All]" allUniqueName="[Table1].[Salary band].[All]" dimensionUniqueName="[Table1]" displayFolder="" count="0" memberValueDatatype="130" unbalanced="0"/>
    <cacheHierarchy uniqueName="[Measures].[Attrition Rate]" caption="Attrition Rate" measure="1" displayFolder="" measureGroup="Table1" count="0"/>
    <cacheHierarchy uniqueName="[Measures].[Attrited employees]" caption="Attrited employees" measure="1" displayFolder="" measureGroup="Table1" count="0"/>
    <cacheHierarchy uniqueName="[Measures].[Average Tenure_Attrited]" caption="Average Tenure_Attrited"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_ID]" caption="Sum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Active_Flag]" caption="Sum of Active_Flag" measure="1" displayFolder="" measureGroup="Table1"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3"/>
        </ext>
      </extLst>
    </cacheHierarchy>
    <cacheHierarchy uniqueName="[Measures].[Sum of Attrition_Flag]" caption="Sum of Attrition_Flag" measure="1" displayFolder="" measureGroup="Table1" count="0" hidden="1">
      <extLst>
        <ext xmlns:x15="http://schemas.microsoft.com/office/spreadsheetml/2010/11/main" uri="{B97F6D7D-B522-45F9-BDA1-12C45D357490}">
          <x15:cacheHierarchy aggregatedColumn="13"/>
        </ext>
      </extLst>
    </cacheHierarchy>
    <cacheHierarchy uniqueName="[Measures].[Count of Employee_ID]" caption="Count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Performance_Rating]" caption="Sum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Average of Performance_Rating]" caption="Average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Sum of Attendance_%]" caption="Sum of Attendance_%" measure="1" displayFolder="" measureGroup="Table1" count="0" hidden="1">
      <extLst>
        <ext xmlns:x15="http://schemas.microsoft.com/office/spreadsheetml/2010/11/main" uri="{B97F6D7D-B522-45F9-BDA1-12C45D357490}">
          <x15:cacheHierarchy aggregatedColumn="12"/>
        </ext>
      </extLst>
    </cacheHierarchy>
    <cacheHierarchy uniqueName="[Measures].[Average of Attendance_%]" caption="Average of Attendance_%" measure="1" displayFolder="" measureGroup="Table1" count="0" hidden="1">
      <extLst>
        <ext xmlns:x15="http://schemas.microsoft.com/office/spreadsheetml/2010/11/main" uri="{B97F6D7D-B522-45F9-BDA1-12C45D357490}">
          <x15:cacheHierarchy aggregatedColumn="12"/>
        </ext>
      </extLst>
    </cacheHierarchy>
    <cacheHierarchy uniqueName="[Measures].[Sum of Training_Hours]" caption="Sum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Average of Training_Hours]" caption="Average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17"/>
        </ext>
      </extLst>
    </cacheHierarchy>
    <cacheHierarchy uniqueName="[Measures].[Average of Tenure]" caption="Average of Tenure" measure="1" displayFolder="" measureGroup="Table1" count="0" oneField="1" hidden="1">
      <fieldsUsage count="1">
        <fieldUsage x="0"/>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ope Adeleye" refreshedDate="46153.978323263887" backgroundQuery="1" createdVersion="8" refreshedVersion="8" minRefreshableVersion="3" recordCount="0" supportSubquery="1" supportAdvancedDrill="1" xr:uid="{D4BC87A4-C565-47AF-8E6B-19579A8DEA9D}">
  <cacheSource type="external" connectionId="1"/>
  <cacheFields count="1">
    <cacheField name="[Measures].[Average of Performance_Rating]" caption="Average of Performance_Rating" numFmtId="0" hierarchy="32" level="32767"/>
  </cacheFields>
  <cacheHierarchies count="39">
    <cacheHierarchy uniqueName="[Table1].[Employee_ID]" caption="Employee_ID" attribute="1" defaultMemberUniqueName="[Table1].[Employee_ID].[All]" allUniqueName="[Table1].[Employee_ID].[All]" dimensionUniqueName="[Table1]" displayFolder="" count="0" memberValueDatatype="2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Job_Role]" caption="Job_Role" attribute="1" defaultMemberUniqueName="[Table1].[Job_Role].[All]" allUniqueName="[Table1].[Job_Role].[All]" dimensionUniqueName="[Table1]" displayFolder="" count="0" memberValueDatatype="130" unbalanced="0"/>
    <cacheHierarchy uniqueName="[Table1].[Salary]" caption="Salary" attribute="1" defaultMemberUniqueName="[Table1].[Salary].[All]" allUniqueName="[Table1].[Salary].[All]" dimensionUniqueName="[Table1]" displayFolder="" count="0" memberValueDatatype="20" unbalanced="0"/>
    <cacheHierarchy uniqueName="[Table1].[Hire_Date]" caption="Hire_Date" attribute="1" defaultMemberUniqueName="[Table1].[Hire_Date].[All]" allUniqueName="[Table1].[Hire_Date].[All]" dimensionUniqueName="[Table1]" displayFolder="" count="0" memberValueDatatype="130" unbalanced="0"/>
    <cacheHierarchy uniqueName="[Table1].[Exit_Date]" caption="Exit_Date" attribute="1" defaultMemberUniqueName="[Table1].[Exit_Date].[All]" allUniqueName="[Table1].[Exit_Date].[All]" dimensionUniqueName="[Table1]" displayFolder="" count="0" memberValueDatatype="130" unbalanced="0"/>
    <cacheHierarchy uniqueName="[Table1].[Employment_Status]" caption="Employment_Status" attribute="1" defaultMemberUniqueName="[Table1].[Employment_Status].[All]" allUniqueName="[Table1].[Employment_Status].[All]" dimensionUniqueName="[Table1]" displayFolder="" count="0" memberValueDatatype="130" unbalanced="0"/>
    <cacheHierarchy uniqueName="[Table1].[Performance_Rating]" caption="Performance_Rating" attribute="1" defaultMemberUniqueName="[Table1].[Performance_Rating].[All]" allUniqueName="[Table1].[Performance_Rating].[All]" dimensionUniqueName="[Table1]" displayFolder="" count="0" memberValueDatatype="20" unbalanced="0"/>
    <cacheHierarchy uniqueName="[Table1].[Training_Hours]" caption="Training_Hours" attribute="1" defaultMemberUniqueName="[Table1].[Training_Hours].[All]" allUniqueName="[Table1].[Training_Hours].[All]" dimensionUniqueName="[Table1]" displayFolder="" count="0" memberValueDatatype="20" unbalanced="0"/>
    <cacheHierarchy uniqueName="[Table1].[Attendance_%]" caption="Attendance_%" attribute="1" defaultMemberUniqueName="[Table1].[Attendance_%].[All]" allUniqueName="[Table1].[Attendance_%].[All]" dimensionUniqueName="[Table1]" displayFolder="" count="0" memberValueDatatype="20" unbalanced="0"/>
    <cacheHierarchy uniqueName="[Table1].[Attrition_Flag]" caption="Attrition_Flag" attribute="1" defaultMemberUniqueName="[Table1].[Attrition_Flag].[All]" allUniqueName="[Table1].[Attrition_Flag].[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Active_Flag]" caption="Active_Flag" attribute="1" defaultMemberUniqueName="[Table1].[Active_Flag].[All]" allUniqueName="[Table1].[Active_Flag].[All]" dimensionUniqueName="[Table1]" displayFolder="" count="0" memberValueDatatype="20" unbalanced="0"/>
    <cacheHierarchy uniqueName="[Table1].[employee count]" caption="employee count" attribute="1" defaultMemberUniqueName="[Table1].[employee count].[All]" allUniqueName="[Table1].[employee count].[All]" dimensionUniqueName="[Table1]" displayFolder="" count="0" memberValueDatatype="20" unbalanced="0"/>
    <cacheHierarchy uniqueName="[Table1].[Tenure]" caption="Tenure" attribute="1" defaultMemberUniqueName="[Table1].[Tenure].[All]" allUniqueName="[Table1].[Tenure].[All]" dimensionUniqueName="[Table1]" displayFolder="" count="0" memberValueDatatype="5" unbalanced="0"/>
    <cacheHierarchy uniqueName="[Table1].[tenure_group]" caption="tenure_group" attribute="1" defaultMemberUniqueName="[Table1].[tenure_group].[All]" allUniqueName="[Table1].[tenure_group].[All]" dimensionUniqueName="[Table1]" displayFolder="" count="0" memberValueDatatype="130" unbalanced="0"/>
    <cacheHierarchy uniqueName="[Table1].[Salary band]" caption="Salary band" attribute="1" defaultMemberUniqueName="[Table1].[Salary band].[All]" allUniqueName="[Table1].[Salary band].[All]" dimensionUniqueName="[Table1]" displayFolder="" count="0" memberValueDatatype="130" unbalanced="0"/>
    <cacheHierarchy uniqueName="[Measures].[Attrition Rate]" caption="Attrition Rate" measure="1" displayFolder="" measureGroup="Table1" count="0"/>
    <cacheHierarchy uniqueName="[Measures].[Attrited employees]" caption="Attrited employees" measure="1" displayFolder="" measureGroup="Table1" count="0"/>
    <cacheHierarchy uniqueName="[Measures].[Average Tenure_Attrited]" caption="Average Tenure_Attrited"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_ID]" caption="Sum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Active_Flag]" caption="Sum of Active_Flag" measure="1" displayFolder="" measureGroup="Table1"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3"/>
        </ext>
      </extLst>
    </cacheHierarchy>
    <cacheHierarchy uniqueName="[Measures].[Sum of Attrition_Flag]" caption="Sum of Attrition_Flag" measure="1" displayFolder="" measureGroup="Table1" count="0" hidden="1">
      <extLst>
        <ext xmlns:x15="http://schemas.microsoft.com/office/spreadsheetml/2010/11/main" uri="{B97F6D7D-B522-45F9-BDA1-12C45D357490}">
          <x15:cacheHierarchy aggregatedColumn="13"/>
        </ext>
      </extLst>
    </cacheHierarchy>
    <cacheHierarchy uniqueName="[Measures].[Count of Employee_ID]" caption="Count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Performance_Rating]" caption="Sum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Average of Performance_Rating]" caption="Average of Performance_Rating"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Attendance_%]" caption="Sum of Attendance_%" measure="1" displayFolder="" measureGroup="Table1" count="0" hidden="1">
      <extLst>
        <ext xmlns:x15="http://schemas.microsoft.com/office/spreadsheetml/2010/11/main" uri="{B97F6D7D-B522-45F9-BDA1-12C45D357490}">
          <x15:cacheHierarchy aggregatedColumn="12"/>
        </ext>
      </extLst>
    </cacheHierarchy>
    <cacheHierarchy uniqueName="[Measures].[Average of Attendance_%]" caption="Average of Attendance_%" measure="1" displayFolder="" measureGroup="Table1" count="0" hidden="1">
      <extLst>
        <ext xmlns:x15="http://schemas.microsoft.com/office/spreadsheetml/2010/11/main" uri="{B97F6D7D-B522-45F9-BDA1-12C45D357490}">
          <x15:cacheHierarchy aggregatedColumn="12"/>
        </ext>
      </extLst>
    </cacheHierarchy>
    <cacheHierarchy uniqueName="[Measures].[Sum of Training_Hours]" caption="Sum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Average of Training_Hours]" caption="Average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17"/>
        </ext>
      </extLst>
    </cacheHierarchy>
    <cacheHierarchy uniqueName="[Measures].[Average of Tenure]" caption="Average of Tenure"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ope Adeleye" refreshedDate="46153.988536574077" backgroundQuery="1" createdVersion="8" refreshedVersion="8" minRefreshableVersion="3" recordCount="0" supportSubquery="1" supportAdvancedDrill="1" xr:uid="{E05290E0-7AEB-4C6A-94C5-4E2628CE945E}">
  <cacheSource type="external" connectionId="1"/>
  <cacheFields count="3">
    <cacheField name="[Table1].[Department].[Department]" caption="Department" numFmtId="0" hierarchy="4" level="1">
      <sharedItems count="5">
        <s v="Finance"/>
        <s v="HR"/>
        <s v="Operations"/>
        <s v="Sales"/>
        <s v="Tech"/>
      </sharedItems>
    </cacheField>
    <cacheField name="[Measures].[Count of Employee_ID]" caption="Count of Employee_ID" numFmtId="0" hierarchy="30" level="32767"/>
    <cacheField name="[Table1].[Age_group].[Age_group]" caption="Age_group" numFmtId="0" hierarchy="14" level="1">
      <sharedItems count="3">
        <s v="22-35"/>
        <s v="36-45"/>
        <s v="46-55"/>
      </sharedItems>
    </cacheField>
  </cacheFields>
  <cacheHierarchies count="39">
    <cacheHierarchy uniqueName="[Table1].[Employee_ID]" caption="Employee_ID" attribute="1" defaultMemberUniqueName="[Table1].[Employee_ID].[All]" allUniqueName="[Table1].[Employee_ID].[All]" dimensionUniqueName="[Table1]" displayFolder="" count="0" memberValueDatatype="2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Job_Role]" caption="Job_Role" attribute="1" defaultMemberUniqueName="[Table1].[Job_Role].[All]" allUniqueName="[Table1].[Job_Role].[All]" dimensionUniqueName="[Table1]" displayFolder="" count="0" memberValueDatatype="130" unbalanced="0"/>
    <cacheHierarchy uniqueName="[Table1].[Salary]" caption="Salary" attribute="1" defaultMemberUniqueName="[Table1].[Salary].[All]" allUniqueName="[Table1].[Salary].[All]" dimensionUniqueName="[Table1]" displayFolder="" count="0" memberValueDatatype="20" unbalanced="0"/>
    <cacheHierarchy uniqueName="[Table1].[Hire_Date]" caption="Hire_Date" attribute="1" defaultMemberUniqueName="[Table1].[Hire_Date].[All]" allUniqueName="[Table1].[Hire_Date].[All]" dimensionUniqueName="[Table1]" displayFolder="" count="0" memberValueDatatype="130" unbalanced="0"/>
    <cacheHierarchy uniqueName="[Table1].[Exit_Date]" caption="Exit_Date" attribute="1" defaultMemberUniqueName="[Table1].[Exit_Date].[All]" allUniqueName="[Table1].[Exit_Date].[All]" dimensionUniqueName="[Table1]" displayFolder="" count="0" memberValueDatatype="130" unbalanced="0"/>
    <cacheHierarchy uniqueName="[Table1].[Employment_Status]" caption="Employment_Status" attribute="1" defaultMemberUniqueName="[Table1].[Employment_Status].[All]" allUniqueName="[Table1].[Employment_Status].[All]" dimensionUniqueName="[Table1]" displayFolder="" count="0" memberValueDatatype="130" unbalanced="0"/>
    <cacheHierarchy uniqueName="[Table1].[Performance_Rating]" caption="Performance_Rating" attribute="1" defaultMemberUniqueName="[Table1].[Performance_Rating].[All]" allUniqueName="[Table1].[Performance_Rating].[All]" dimensionUniqueName="[Table1]" displayFolder="" count="0" memberValueDatatype="20" unbalanced="0"/>
    <cacheHierarchy uniqueName="[Table1].[Training_Hours]" caption="Training_Hours" attribute="1" defaultMemberUniqueName="[Table1].[Training_Hours].[All]" allUniqueName="[Table1].[Training_Hours].[All]" dimensionUniqueName="[Table1]" displayFolder="" count="0" memberValueDatatype="20" unbalanced="0"/>
    <cacheHierarchy uniqueName="[Table1].[Attendance_%]" caption="Attendance_%" attribute="1" defaultMemberUniqueName="[Table1].[Attendance_%].[All]" allUniqueName="[Table1].[Attendance_%].[All]" dimensionUniqueName="[Table1]" displayFolder="" count="0" memberValueDatatype="20" unbalanced="0"/>
    <cacheHierarchy uniqueName="[Table1].[Attrition_Flag]" caption="Attrition_Flag" attribute="1" defaultMemberUniqueName="[Table1].[Attrition_Flag].[All]" allUniqueName="[Table1].[Attrition_Flag].[All]" dimensionUniqueName="[Table1]" displayFolder="" count="0" memberValueDatatype="20" unbalanced="0"/>
    <cacheHierarchy uniqueName="[Table1].[Age_group]" caption="Age_group" attribute="1" defaultMemberUniqueName="[Table1].[Age_group].[All]" allUniqueName="[Table1].[Age_group].[All]" dimensionUniqueName="[Table1]" displayFolder="" count="2" memberValueDatatype="130" unbalanced="0">
      <fieldsUsage count="2">
        <fieldUsage x="-1"/>
        <fieldUsage x="2"/>
      </fieldsUsage>
    </cacheHierarchy>
    <cacheHierarchy uniqueName="[Table1].[Active_Flag]" caption="Active_Flag" attribute="1" defaultMemberUniqueName="[Table1].[Active_Flag].[All]" allUniqueName="[Table1].[Active_Flag].[All]" dimensionUniqueName="[Table1]" displayFolder="" count="0" memberValueDatatype="20" unbalanced="0"/>
    <cacheHierarchy uniqueName="[Table1].[employee count]" caption="employee count" attribute="1" defaultMemberUniqueName="[Table1].[employee count].[All]" allUniqueName="[Table1].[employee count].[All]" dimensionUniqueName="[Table1]" displayFolder="" count="0" memberValueDatatype="20" unbalanced="0"/>
    <cacheHierarchy uniqueName="[Table1].[Tenure]" caption="Tenure" attribute="1" defaultMemberUniqueName="[Table1].[Tenure].[All]" allUniqueName="[Table1].[Tenure].[All]" dimensionUniqueName="[Table1]" displayFolder="" count="0" memberValueDatatype="5" unbalanced="0"/>
    <cacheHierarchy uniqueName="[Table1].[tenure_group]" caption="tenure_group" attribute="1" defaultMemberUniqueName="[Table1].[tenure_group].[All]" allUniqueName="[Table1].[tenure_group].[All]" dimensionUniqueName="[Table1]" displayFolder="" count="0" memberValueDatatype="130" unbalanced="0"/>
    <cacheHierarchy uniqueName="[Table1].[Salary band]" caption="Salary band" attribute="1" defaultMemberUniqueName="[Table1].[Salary band].[All]" allUniqueName="[Table1].[Salary band].[All]" dimensionUniqueName="[Table1]" displayFolder="" count="0" memberValueDatatype="130" unbalanced="0"/>
    <cacheHierarchy uniqueName="[Measures].[Attrition Rate]" caption="Attrition Rate" measure="1" displayFolder="" measureGroup="Table1" count="0"/>
    <cacheHierarchy uniqueName="[Measures].[Attrited employees]" caption="Attrited employees" measure="1" displayFolder="" measureGroup="Table1" count="0"/>
    <cacheHierarchy uniqueName="[Measures].[Average Tenure_Attrited]" caption="Average Tenure_Attrited"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_ID]" caption="Sum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Active_Flag]" caption="Sum of Active_Flag" measure="1" displayFolder="" measureGroup="Table1"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3"/>
        </ext>
      </extLst>
    </cacheHierarchy>
    <cacheHierarchy uniqueName="[Measures].[Sum of Attrition_Flag]" caption="Sum of Attrition_Flag" measure="1" displayFolder="" measureGroup="Table1" count="0" hidden="1">
      <extLst>
        <ext xmlns:x15="http://schemas.microsoft.com/office/spreadsheetml/2010/11/main" uri="{B97F6D7D-B522-45F9-BDA1-12C45D357490}">
          <x15:cacheHierarchy aggregatedColumn="13"/>
        </ext>
      </extLst>
    </cacheHierarchy>
    <cacheHierarchy uniqueName="[Measures].[Count of Employee_ID]" caption="Count of Employee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erformance_Rating]" caption="Sum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Average of Performance_Rating]" caption="Average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Sum of Attendance_%]" caption="Sum of Attendance_%" measure="1" displayFolder="" measureGroup="Table1" count="0" hidden="1">
      <extLst>
        <ext xmlns:x15="http://schemas.microsoft.com/office/spreadsheetml/2010/11/main" uri="{B97F6D7D-B522-45F9-BDA1-12C45D357490}">
          <x15:cacheHierarchy aggregatedColumn="12"/>
        </ext>
      </extLst>
    </cacheHierarchy>
    <cacheHierarchy uniqueName="[Measures].[Average of Attendance_%]" caption="Average of Attendance_%" measure="1" displayFolder="" measureGroup="Table1" count="0" hidden="1">
      <extLst>
        <ext xmlns:x15="http://schemas.microsoft.com/office/spreadsheetml/2010/11/main" uri="{B97F6D7D-B522-45F9-BDA1-12C45D357490}">
          <x15:cacheHierarchy aggregatedColumn="12"/>
        </ext>
      </extLst>
    </cacheHierarchy>
    <cacheHierarchy uniqueName="[Measures].[Sum of Training_Hours]" caption="Sum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Average of Training_Hours]" caption="Average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17"/>
        </ext>
      </extLst>
    </cacheHierarchy>
    <cacheHierarchy uniqueName="[Measures].[Average of Tenure]" caption="Average of Tenure"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ope Adeleye" refreshedDate="46153.97832696759" backgroundQuery="1" createdVersion="8" refreshedVersion="8" minRefreshableVersion="3" recordCount="0" supportSubquery="1" supportAdvancedDrill="1" xr:uid="{B102157E-3B2D-4F3A-8D6D-9EAA7E38899D}">
  <cacheSource type="external" connectionId="1"/>
  <cacheFields count="1">
    <cacheField name="[Measures].[Sum of Active_Flag]" caption="Sum of Active_Flag" numFmtId="0" hierarchy="26" level="32767"/>
  </cacheFields>
  <cacheHierarchies count="39">
    <cacheHierarchy uniqueName="[Table1].[Employee_ID]" caption="Employee_ID" attribute="1" defaultMemberUniqueName="[Table1].[Employee_ID].[All]" allUniqueName="[Table1].[Employee_ID].[All]" dimensionUniqueName="[Table1]" displayFolder="" count="0" memberValueDatatype="2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Job_Role]" caption="Job_Role" attribute="1" defaultMemberUniqueName="[Table1].[Job_Role].[All]" allUniqueName="[Table1].[Job_Role].[All]" dimensionUniqueName="[Table1]" displayFolder="" count="0" memberValueDatatype="130" unbalanced="0"/>
    <cacheHierarchy uniqueName="[Table1].[Salary]" caption="Salary" attribute="1" defaultMemberUniqueName="[Table1].[Salary].[All]" allUniqueName="[Table1].[Salary].[All]" dimensionUniqueName="[Table1]" displayFolder="" count="0" memberValueDatatype="20" unbalanced="0"/>
    <cacheHierarchy uniqueName="[Table1].[Hire_Date]" caption="Hire_Date" attribute="1" defaultMemberUniqueName="[Table1].[Hire_Date].[All]" allUniqueName="[Table1].[Hire_Date].[All]" dimensionUniqueName="[Table1]" displayFolder="" count="0" memberValueDatatype="130" unbalanced="0"/>
    <cacheHierarchy uniqueName="[Table1].[Exit_Date]" caption="Exit_Date" attribute="1" defaultMemberUniqueName="[Table1].[Exit_Date].[All]" allUniqueName="[Table1].[Exit_Date].[All]" dimensionUniqueName="[Table1]" displayFolder="" count="0" memberValueDatatype="130" unbalanced="0"/>
    <cacheHierarchy uniqueName="[Table1].[Employment_Status]" caption="Employment_Status" attribute="1" defaultMemberUniqueName="[Table1].[Employment_Status].[All]" allUniqueName="[Table1].[Employment_Status].[All]" dimensionUniqueName="[Table1]" displayFolder="" count="0" memberValueDatatype="130" unbalanced="0"/>
    <cacheHierarchy uniqueName="[Table1].[Performance_Rating]" caption="Performance_Rating" attribute="1" defaultMemberUniqueName="[Table1].[Performance_Rating].[All]" allUniqueName="[Table1].[Performance_Rating].[All]" dimensionUniqueName="[Table1]" displayFolder="" count="0" memberValueDatatype="20" unbalanced="0"/>
    <cacheHierarchy uniqueName="[Table1].[Training_Hours]" caption="Training_Hours" attribute="1" defaultMemberUniqueName="[Table1].[Training_Hours].[All]" allUniqueName="[Table1].[Training_Hours].[All]" dimensionUniqueName="[Table1]" displayFolder="" count="0" memberValueDatatype="20" unbalanced="0"/>
    <cacheHierarchy uniqueName="[Table1].[Attendance_%]" caption="Attendance_%" attribute="1" defaultMemberUniqueName="[Table1].[Attendance_%].[All]" allUniqueName="[Table1].[Attendance_%].[All]" dimensionUniqueName="[Table1]" displayFolder="" count="0" memberValueDatatype="20" unbalanced="0"/>
    <cacheHierarchy uniqueName="[Table1].[Attrition_Flag]" caption="Attrition_Flag" attribute="1" defaultMemberUniqueName="[Table1].[Attrition_Flag].[All]" allUniqueName="[Table1].[Attrition_Flag].[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Active_Flag]" caption="Active_Flag" attribute="1" defaultMemberUniqueName="[Table1].[Active_Flag].[All]" allUniqueName="[Table1].[Active_Flag].[All]" dimensionUniqueName="[Table1]" displayFolder="" count="0" memberValueDatatype="20" unbalanced="0"/>
    <cacheHierarchy uniqueName="[Table1].[employee count]" caption="employee count" attribute="1" defaultMemberUniqueName="[Table1].[employee count].[All]" allUniqueName="[Table1].[employee count].[All]" dimensionUniqueName="[Table1]" displayFolder="" count="0" memberValueDatatype="20" unbalanced="0"/>
    <cacheHierarchy uniqueName="[Table1].[Tenure]" caption="Tenure" attribute="1" defaultMemberUniqueName="[Table1].[Tenure].[All]" allUniqueName="[Table1].[Tenure].[All]" dimensionUniqueName="[Table1]" displayFolder="" count="0" memberValueDatatype="5" unbalanced="0"/>
    <cacheHierarchy uniqueName="[Table1].[tenure_group]" caption="tenure_group" attribute="1" defaultMemberUniqueName="[Table1].[tenure_group].[All]" allUniqueName="[Table1].[tenure_group].[All]" dimensionUniqueName="[Table1]" displayFolder="" count="0" memberValueDatatype="130" unbalanced="0"/>
    <cacheHierarchy uniqueName="[Table1].[Salary band]" caption="Salary band" attribute="1" defaultMemberUniqueName="[Table1].[Salary band].[All]" allUniqueName="[Table1].[Salary band].[All]" dimensionUniqueName="[Table1]" displayFolder="" count="0" memberValueDatatype="130" unbalanced="0"/>
    <cacheHierarchy uniqueName="[Measures].[Attrition Rate]" caption="Attrition Rate" measure="1" displayFolder="" measureGroup="Table1" count="0"/>
    <cacheHierarchy uniqueName="[Measures].[Attrited employees]" caption="Attrited employees" measure="1" displayFolder="" measureGroup="Table1" count="0"/>
    <cacheHierarchy uniqueName="[Measures].[Average Tenure_Attrited]" caption="Average Tenure_Attrited"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_ID]" caption="Sum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Active_Flag]" caption="Sum of Active_Flag" measure="1" displayFolder="" measureGroup="Table1"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3"/>
        </ext>
      </extLst>
    </cacheHierarchy>
    <cacheHierarchy uniqueName="[Measures].[Sum of Attrition_Flag]" caption="Sum of Attrition_Flag" measure="1" displayFolder="" measureGroup="Table1" count="0" hidden="1">
      <extLst>
        <ext xmlns:x15="http://schemas.microsoft.com/office/spreadsheetml/2010/11/main" uri="{B97F6D7D-B522-45F9-BDA1-12C45D357490}">
          <x15:cacheHierarchy aggregatedColumn="13"/>
        </ext>
      </extLst>
    </cacheHierarchy>
    <cacheHierarchy uniqueName="[Measures].[Count of Employee_ID]" caption="Count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Performance_Rating]" caption="Sum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Average of Performance_Rating]" caption="Average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Sum of Attendance_%]" caption="Sum of Attendance_%" measure="1" displayFolder="" measureGroup="Table1" count="0" hidden="1">
      <extLst>
        <ext xmlns:x15="http://schemas.microsoft.com/office/spreadsheetml/2010/11/main" uri="{B97F6D7D-B522-45F9-BDA1-12C45D357490}">
          <x15:cacheHierarchy aggregatedColumn="12"/>
        </ext>
      </extLst>
    </cacheHierarchy>
    <cacheHierarchy uniqueName="[Measures].[Average of Attendance_%]" caption="Average of Attendance_%" measure="1" displayFolder="" measureGroup="Table1" count="0" hidden="1">
      <extLst>
        <ext xmlns:x15="http://schemas.microsoft.com/office/spreadsheetml/2010/11/main" uri="{B97F6D7D-B522-45F9-BDA1-12C45D357490}">
          <x15:cacheHierarchy aggregatedColumn="12"/>
        </ext>
      </extLst>
    </cacheHierarchy>
    <cacheHierarchy uniqueName="[Measures].[Sum of Training_Hours]" caption="Sum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Average of Training_Hours]" caption="Average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17"/>
        </ext>
      </extLst>
    </cacheHierarchy>
    <cacheHierarchy uniqueName="[Measures].[Average of Tenure]" caption="Average of Tenure"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ope Adeleye" refreshedDate="46153.989167245367" backgroundQuery="1" createdVersion="8" refreshedVersion="8" minRefreshableVersion="3" recordCount="0" supportSubquery="1" supportAdvancedDrill="1" xr:uid="{80B4626C-66E4-4282-8568-540A44F1D5A1}">
  <cacheSource type="external" connectionId="1"/>
  <cacheFields count="3">
    <cacheField name="[Table1].[Department].[Department]" caption="Department" numFmtId="0" hierarchy="4" level="1">
      <sharedItems count="5">
        <s v="Finance"/>
        <s v="HR"/>
        <s v="Operations"/>
        <s v="Sales"/>
        <s v="Tech"/>
      </sharedItems>
    </cacheField>
    <cacheField name="[Measures].[Count of Employee_ID]" caption="Count of Employee_ID" numFmtId="0" hierarchy="30" level="32767"/>
    <cacheField name="[Table1].[Gender].[Gender]" caption="Gender" numFmtId="0" hierarchy="2" level="1">
      <sharedItems count="2">
        <s v="Female"/>
        <s v="Male"/>
      </sharedItems>
    </cacheField>
  </cacheFields>
  <cacheHierarchies count="39">
    <cacheHierarchy uniqueName="[Table1].[Employee_ID]" caption="Employee_ID" attribute="1" defaultMemberUniqueName="[Table1].[Employee_ID].[All]" allUniqueName="[Table1].[Employee_ID].[All]" dimensionUniqueName="[Table1]" displayFolder="" count="0" memberValueDatatype="2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2"/>
      </fieldsUsage>
    </cacheHierarchy>
    <cacheHierarchy uniqueName="[Table1].[Age]" caption="Age" attribute="1" defaultMemberUniqueName="[Table1].[Age].[All]" allUniqueName="[Table1].[Ag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Job_Role]" caption="Job_Role" attribute="1" defaultMemberUniqueName="[Table1].[Job_Role].[All]" allUniqueName="[Table1].[Job_Role].[All]" dimensionUniqueName="[Table1]" displayFolder="" count="0" memberValueDatatype="130" unbalanced="0"/>
    <cacheHierarchy uniqueName="[Table1].[Salary]" caption="Salary" attribute="1" defaultMemberUniqueName="[Table1].[Salary].[All]" allUniqueName="[Table1].[Salary].[All]" dimensionUniqueName="[Table1]" displayFolder="" count="0" memberValueDatatype="20" unbalanced="0"/>
    <cacheHierarchy uniqueName="[Table1].[Hire_Date]" caption="Hire_Date" attribute="1" defaultMemberUniqueName="[Table1].[Hire_Date].[All]" allUniqueName="[Table1].[Hire_Date].[All]" dimensionUniqueName="[Table1]" displayFolder="" count="0" memberValueDatatype="130" unbalanced="0"/>
    <cacheHierarchy uniqueName="[Table1].[Exit_Date]" caption="Exit_Date" attribute="1" defaultMemberUniqueName="[Table1].[Exit_Date].[All]" allUniqueName="[Table1].[Exit_Date].[All]" dimensionUniqueName="[Table1]" displayFolder="" count="0" memberValueDatatype="130" unbalanced="0"/>
    <cacheHierarchy uniqueName="[Table1].[Employment_Status]" caption="Employment_Status" attribute="1" defaultMemberUniqueName="[Table1].[Employment_Status].[All]" allUniqueName="[Table1].[Employment_Status].[All]" dimensionUniqueName="[Table1]" displayFolder="" count="0" memberValueDatatype="130" unbalanced="0"/>
    <cacheHierarchy uniqueName="[Table1].[Performance_Rating]" caption="Performance_Rating" attribute="1" defaultMemberUniqueName="[Table1].[Performance_Rating].[All]" allUniqueName="[Table1].[Performance_Rating].[All]" dimensionUniqueName="[Table1]" displayFolder="" count="0" memberValueDatatype="20" unbalanced="0"/>
    <cacheHierarchy uniqueName="[Table1].[Training_Hours]" caption="Training_Hours" attribute="1" defaultMemberUniqueName="[Table1].[Training_Hours].[All]" allUniqueName="[Table1].[Training_Hours].[All]" dimensionUniqueName="[Table1]" displayFolder="" count="0" memberValueDatatype="20" unbalanced="0"/>
    <cacheHierarchy uniqueName="[Table1].[Attendance_%]" caption="Attendance_%" attribute="1" defaultMemberUniqueName="[Table1].[Attendance_%].[All]" allUniqueName="[Table1].[Attendance_%].[All]" dimensionUniqueName="[Table1]" displayFolder="" count="0" memberValueDatatype="20" unbalanced="0"/>
    <cacheHierarchy uniqueName="[Table1].[Attrition_Flag]" caption="Attrition_Flag" attribute="1" defaultMemberUniqueName="[Table1].[Attrition_Flag].[All]" allUniqueName="[Table1].[Attrition_Flag].[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Active_Flag]" caption="Active_Flag" attribute="1" defaultMemberUniqueName="[Table1].[Active_Flag].[All]" allUniqueName="[Table1].[Active_Flag].[All]" dimensionUniqueName="[Table1]" displayFolder="" count="0" memberValueDatatype="20" unbalanced="0"/>
    <cacheHierarchy uniqueName="[Table1].[employee count]" caption="employee count" attribute="1" defaultMemberUniqueName="[Table1].[employee count].[All]" allUniqueName="[Table1].[employee count].[All]" dimensionUniqueName="[Table1]" displayFolder="" count="0" memberValueDatatype="20" unbalanced="0"/>
    <cacheHierarchy uniqueName="[Table1].[Tenure]" caption="Tenure" attribute="1" defaultMemberUniqueName="[Table1].[Tenure].[All]" allUniqueName="[Table1].[Tenure].[All]" dimensionUniqueName="[Table1]" displayFolder="" count="0" memberValueDatatype="5" unbalanced="0"/>
    <cacheHierarchy uniqueName="[Table1].[tenure_group]" caption="tenure_group" attribute="1" defaultMemberUniqueName="[Table1].[tenure_group].[All]" allUniqueName="[Table1].[tenure_group].[All]" dimensionUniqueName="[Table1]" displayFolder="" count="0" memberValueDatatype="130" unbalanced="0"/>
    <cacheHierarchy uniqueName="[Table1].[Salary band]" caption="Salary band" attribute="1" defaultMemberUniqueName="[Table1].[Salary band].[All]" allUniqueName="[Table1].[Salary band].[All]" dimensionUniqueName="[Table1]" displayFolder="" count="0" memberValueDatatype="130" unbalanced="0"/>
    <cacheHierarchy uniqueName="[Measures].[Attrition Rate]" caption="Attrition Rate" measure="1" displayFolder="" measureGroup="Table1" count="0"/>
    <cacheHierarchy uniqueName="[Measures].[Attrited employees]" caption="Attrited employees" measure="1" displayFolder="" measureGroup="Table1" count="0"/>
    <cacheHierarchy uniqueName="[Measures].[Average Tenure_Attrited]" caption="Average Tenure_Attrited"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_ID]" caption="Sum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Active_Flag]" caption="Sum of Active_Flag" measure="1" displayFolder="" measureGroup="Table1"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3"/>
        </ext>
      </extLst>
    </cacheHierarchy>
    <cacheHierarchy uniqueName="[Measures].[Sum of Attrition_Flag]" caption="Sum of Attrition_Flag" measure="1" displayFolder="" measureGroup="Table1" count="0" hidden="1">
      <extLst>
        <ext xmlns:x15="http://schemas.microsoft.com/office/spreadsheetml/2010/11/main" uri="{B97F6D7D-B522-45F9-BDA1-12C45D357490}">
          <x15:cacheHierarchy aggregatedColumn="13"/>
        </ext>
      </extLst>
    </cacheHierarchy>
    <cacheHierarchy uniqueName="[Measures].[Count of Employee_ID]" caption="Count of Employee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erformance_Rating]" caption="Sum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Average of Performance_Rating]" caption="Average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Sum of Attendance_%]" caption="Sum of Attendance_%" measure="1" displayFolder="" measureGroup="Table1" count="0" hidden="1">
      <extLst>
        <ext xmlns:x15="http://schemas.microsoft.com/office/spreadsheetml/2010/11/main" uri="{B97F6D7D-B522-45F9-BDA1-12C45D357490}">
          <x15:cacheHierarchy aggregatedColumn="12"/>
        </ext>
      </extLst>
    </cacheHierarchy>
    <cacheHierarchy uniqueName="[Measures].[Average of Attendance_%]" caption="Average of Attendance_%" measure="1" displayFolder="" measureGroup="Table1" count="0" hidden="1">
      <extLst>
        <ext xmlns:x15="http://schemas.microsoft.com/office/spreadsheetml/2010/11/main" uri="{B97F6D7D-B522-45F9-BDA1-12C45D357490}">
          <x15:cacheHierarchy aggregatedColumn="12"/>
        </ext>
      </extLst>
    </cacheHierarchy>
    <cacheHierarchy uniqueName="[Measures].[Sum of Training_Hours]" caption="Sum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Average of Training_Hours]" caption="Average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17"/>
        </ext>
      </extLst>
    </cacheHierarchy>
    <cacheHierarchy uniqueName="[Measures].[Average of Tenure]" caption="Average of Tenure"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ope Adeleye" refreshedDate="46153.978324074073" backgroundQuery="1" createdVersion="8" refreshedVersion="8" minRefreshableVersion="3" recordCount="0" supportSubquery="1" supportAdvancedDrill="1" xr:uid="{ECE91DFD-425D-4920-9CD8-369732163F40}">
  <cacheSource type="external" connectionId="1"/>
  <cacheFields count="1">
    <cacheField name="[Measures].[Count of Employee_ID]" caption="Count of Employee_ID" numFmtId="0" hierarchy="30" level="32767"/>
  </cacheFields>
  <cacheHierarchies count="39">
    <cacheHierarchy uniqueName="[Table1].[Employee_ID]" caption="Employee_ID" attribute="1" defaultMemberUniqueName="[Table1].[Employee_ID].[All]" allUniqueName="[Table1].[Employee_ID].[All]" dimensionUniqueName="[Table1]" displayFolder="" count="0" memberValueDatatype="2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Job_Role]" caption="Job_Role" attribute="1" defaultMemberUniqueName="[Table1].[Job_Role].[All]" allUniqueName="[Table1].[Job_Role].[All]" dimensionUniqueName="[Table1]" displayFolder="" count="0" memberValueDatatype="130" unbalanced="0"/>
    <cacheHierarchy uniqueName="[Table1].[Salary]" caption="Salary" attribute="1" defaultMemberUniqueName="[Table1].[Salary].[All]" allUniqueName="[Table1].[Salary].[All]" dimensionUniqueName="[Table1]" displayFolder="" count="0" memberValueDatatype="20" unbalanced="0"/>
    <cacheHierarchy uniqueName="[Table1].[Hire_Date]" caption="Hire_Date" attribute="1" defaultMemberUniqueName="[Table1].[Hire_Date].[All]" allUniqueName="[Table1].[Hire_Date].[All]" dimensionUniqueName="[Table1]" displayFolder="" count="0" memberValueDatatype="130" unbalanced="0"/>
    <cacheHierarchy uniqueName="[Table1].[Exit_Date]" caption="Exit_Date" attribute="1" defaultMemberUniqueName="[Table1].[Exit_Date].[All]" allUniqueName="[Table1].[Exit_Date].[All]" dimensionUniqueName="[Table1]" displayFolder="" count="0" memberValueDatatype="130" unbalanced="0"/>
    <cacheHierarchy uniqueName="[Table1].[Employment_Status]" caption="Employment_Status" attribute="1" defaultMemberUniqueName="[Table1].[Employment_Status].[All]" allUniqueName="[Table1].[Employment_Status].[All]" dimensionUniqueName="[Table1]" displayFolder="" count="0" memberValueDatatype="130" unbalanced="0"/>
    <cacheHierarchy uniqueName="[Table1].[Performance_Rating]" caption="Performance_Rating" attribute="1" defaultMemberUniqueName="[Table1].[Performance_Rating].[All]" allUniqueName="[Table1].[Performance_Rating].[All]" dimensionUniqueName="[Table1]" displayFolder="" count="0" memberValueDatatype="20" unbalanced="0"/>
    <cacheHierarchy uniqueName="[Table1].[Training_Hours]" caption="Training_Hours" attribute="1" defaultMemberUniqueName="[Table1].[Training_Hours].[All]" allUniqueName="[Table1].[Training_Hours].[All]" dimensionUniqueName="[Table1]" displayFolder="" count="0" memberValueDatatype="20" unbalanced="0"/>
    <cacheHierarchy uniqueName="[Table1].[Attendance_%]" caption="Attendance_%" attribute="1" defaultMemberUniqueName="[Table1].[Attendance_%].[All]" allUniqueName="[Table1].[Attendance_%].[All]" dimensionUniqueName="[Table1]" displayFolder="" count="0" memberValueDatatype="20" unbalanced="0"/>
    <cacheHierarchy uniqueName="[Table1].[Attrition_Flag]" caption="Attrition_Flag" attribute="1" defaultMemberUniqueName="[Table1].[Attrition_Flag].[All]" allUniqueName="[Table1].[Attrition_Flag].[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Active_Flag]" caption="Active_Flag" attribute="1" defaultMemberUniqueName="[Table1].[Active_Flag].[All]" allUniqueName="[Table1].[Active_Flag].[All]" dimensionUniqueName="[Table1]" displayFolder="" count="0" memberValueDatatype="20" unbalanced="0"/>
    <cacheHierarchy uniqueName="[Table1].[employee count]" caption="employee count" attribute="1" defaultMemberUniqueName="[Table1].[employee count].[All]" allUniqueName="[Table1].[employee count].[All]" dimensionUniqueName="[Table1]" displayFolder="" count="0" memberValueDatatype="20" unbalanced="0"/>
    <cacheHierarchy uniqueName="[Table1].[Tenure]" caption="Tenure" attribute="1" defaultMemberUniqueName="[Table1].[Tenure].[All]" allUniqueName="[Table1].[Tenure].[All]" dimensionUniqueName="[Table1]" displayFolder="" count="0" memberValueDatatype="5" unbalanced="0"/>
    <cacheHierarchy uniqueName="[Table1].[tenure_group]" caption="tenure_group" attribute="1" defaultMemberUniqueName="[Table1].[tenure_group].[All]" allUniqueName="[Table1].[tenure_group].[All]" dimensionUniqueName="[Table1]" displayFolder="" count="0" memberValueDatatype="130" unbalanced="0"/>
    <cacheHierarchy uniqueName="[Table1].[Salary band]" caption="Salary band" attribute="1" defaultMemberUniqueName="[Table1].[Salary band].[All]" allUniqueName="[Table1].[Salary band].[All]" dimensionUniqueName="[Table1]" displayFolder="" count="0" memberValueDatatype="130" unbalanced="0"/>
    <cacheHierarchy uniqueName="[Measures].[Attrition Rate]" caption="Attrition Rate" measure="1" displayFolder="" measureGroup="Table1" count="0"/>
    <cacheHierarchy uniqueName="[Measures].[Attrited employees]" caption="Attrited employees" measure="1" displayFolder="" measureGroup="Table1" count="0"/>
    <cacheHierarchy uniqueName="[Measures].[Average Tenure_Attrited]" caption="Average Tenure_Attrited"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_ID]" caption="Sum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Active_Flag]" caption="Sum of Active_Flag" measure="1" displayFolder="" measureGroup="Table1"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3"/>
        </ext>
      </extLst>
    </cacheHierarchy>
    <cacheHierarchy uniqueName="[Measures].[Sum of Attrition_Flag]" caption="Sum of Attrition_Flag" measure="1" displayFolder="" measureGroup="Table1" count="0" hidden="1">
      <extLst>
        <ext xmlns:x15="http://schemas.microsoft.com/office/spreadsheetml/2010/11/main" uri="{B97F6D7D-B522-45F9-BDA1-12C45D357490}">
          <x15:cacheHierarchy aggregatedColumn="13"/>
        </ext>
      </extLst>
    </cacheHierarchy>
    <cacheHierarchy uniqueName="[Measures].[Count of Employee_ID]" caption="Count of Employee_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erformance_Rating]" caption="Sum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Average of Performance_Rating]" caption="Average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Sum of Attendance_%]" caption="Sum of Attendance_%" measure="1" displayFolder="" measureGroup="Table1" count="0" hidden="1">
      <extLst>
        <ext xmlns:x15="http://schemas.microsoft.com/office/spreadsheetml/2010/11/main" uri="{B97F6D7D-B522-45F9-BDA1-12C45D357490}">
          <x15:cacheHierarchy aggregatedColumn="12"/>
        </ext>
      </extLst>
    </cacheHierarchy>
    <cacheHierarchy uniqueName="[Measures].[Average of Attendance_%]" caption="Average of Attendance_%" measure="1" displayFolder="" measureGroup="Table1" count="0" hidden="1">
      <extLst>
        <ext xmlns:x15="http://schemas.microsoft.com/office/spreadsheetml/2010/11/main" uri="{B97F6D7D-B522-45F9-BDA1-12C45D357490}">
          <x15:cacheHierarchy aggregatedColumn="12"/>
        </ext>
      </extLst>
    </cacheHierarchy>
    <cacheHierarchy uniqueName="[Measures].[Sum of Training_Hours]" caption="Sum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Average of Training_Hours]" caption="Average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17"/>
        </ext>
      </extLst>
    </cacheHierarchy>
    <cacheHierarchy uniqueName="[Measures].[Average of Tenure]" caption="Average of Tenure"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ope Adeleye" refreshedDate="46153.994689814812" backgroundQuery="1" createdVersion="8" refreshedVersion="8" minRefreshableVersion="3" recordCount="0" supportSubquery="1" supportAdvancedDrill="1" xr:uid="{A35C5356-248D-4822-9F2F-BAB8BF31B0D3}">
  <cacheSource type="external" connectionId="1"/>
  <cacheFields count="2">
    <cacheField name="[Measures].[Sum of Attrition_Flag]" caption="Sum of Attrition_Flag" numFmtId="0" hierarchy="29" level="32767"/>
    <cacheField name="[Table1].[Department].[Department]" caption="Department" numFmtId="0" hierarchy="4" level="1">
      <sharedItems count="5">
        <s v="Finance"/>
        <s v="HR"/>
        <s v="Operations"/>
        <s v="Sales"/>
        <s v="Tech"/>
      </sharedItems>
    </cacheField>
  </cacheFields>
  <cacheHierarchies count="39">
    <cacheHierarchy uniqueName="[Table1].[Employee_ID]" caption="Employee_ID" attribute="1" defaultMemberUniqueName="[Table1].[Employee_ID].[All]" allUniqueName="[Table1].[Employee_ID].[All]" dimensionUniqueName="[Table1]" displayFolder="" count="0" memberValueDatatype="2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1"/>
      </fieldsUsage>
    </cacheHierarchy>
    <cacheHierarchy uniqueName="[Table1].[Job_Role]" caption="Job_Role" attribute="1" defaultMemberUniqueName="[Table1].[Job_Role].[All]" allUniqueName="[Table1].[Job_Role].[All]" dimensionUniqueName="[Table1]" displayFolder="" count="0" memberValueDatatype="130" unbalanced="0"/>
    <cacheHierarchy uniqueName="[Table1].[Salary]" caption="Salary" attribute="1" defaultMemberUniqueName="[Table1].[Salary].[All]" allUniqueName="[Table1].[Salary].[All]" dimensionUniqueName="[Table1]" displayFolder="" count="0" memberValueDatatype="20" unbalanced="0"/>
    <cacheHierarchy uniqueName="[Table1].[Hire_Date]" caption="Hire_Date" attribute="1" defaultMemberUniqueName="[Table1].[Hire_Date].[All]" allUniqueName="[Table1].[Hire_Date].[All]" dimensionUniqueName="[Table1]" displayFolder="" count="0" memberValueDatatype="130" unbalanced="0"/>
    <cacheHierarchy uniqueName="[Table1].[Exit_Date]" caption="Exit_Date" attribute="1" defaultMemberUniqueName="[Table1].[Exit_Date].[All]" allUniqueName="[Table1].[Exit_Date].[All]" dimensionUniqueName="[Table1]" displayFolder="" count="0" memberValueDatatype="130" unbalanced="0"/>
    <cacheHierarchy uniqueName="[Table1].[Employment_Status]" caption="Employment_Status" attribute="1" defaultMemberUniqueName="[Table1].[Employment_Status].[All]" allUniqueName="[Table1].[Employment_Status].[All]" dimensionUniqueName="[Table1]" displayFolder="" count="0" memberValueDatatype="130" unbalanced="0"/>
    <cacheHierarchy uniqueName="[Table1].[Performance_Rating]" caption="Performance_Rating" attribute="1" defaultMemberUniqueName="[Table1].[Performance_Rating].[All]" allUniqueName="[Table1].[Performance_Rating].[All]" dimensionUniqueName="[Table1]" displayFolder="" count="0" memberValueDatatype="20" unbalanced="0"/>
    <cacheHierarchy uniqueName="[Table1].[Training_Hours]" caption="Training_Hours" attribute="1" defaultMemberUniqueName="[Table1].[Training_Hours].[All]" allUniqueName="[Table1].[Training_Hours].[All]" dimensionUniqueName="[Table1]" displayFolder="" count="0" memberValueDatatype="20" unbalanced="0"/>
    <cacheHierarchy uniqueName="[Table1].[Attendance_%]" caption="Attendance_%" attribute="1" defaultMemberUniqueName="[Table1].[Attendance_%].[All]" allUniqueName="[Table1].[Attendance_%].[All]" dimensionUniqueName="[Table1]" displayFolder="" count="0" memberValueDatatype="20" unbalanced="0"/>
    <cacheHierarchy uniqueName="[Table1].[Attrition_Flag]" caption="Attrition_Flag" attribute="1" defaultMemberUniqueName="[Table1].[Attrition_Flag].[All]" allUniqueName="[Table1].[Attrition_Flag].[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Active_Flag]" caption="Active_Flag" attribute="1" defaultMemberUniqueName="[Table1].[Active_Flag].[All]" allUniqueName="[Table1].[Active_Flag].[All]" dimensionUniqueName="[Table1]" displayFolder="" count="0" memberValueDatatype="20" unbalanced="0"/>
    <cacheHierarchy uniqueName="[Table1].[employee count]" caption="employee count" attribute="1" defaultMemberUniqueName="[Table1].[employee count].[All]" allUniqueName="[Table1].[employee count].[All]" dimensionUniqueName="[Table1]" displayFolder="" count="0" memberValueDatatype="20" unbalanced="0"/>
    <cacheHierarchy uniqueName="[Table1].[Tenure]" caption="Tenure" attribute="1" defaultMemberUniqueName="[Table1].[Tenure].[All]" allUniqueName="[Table1].[Tenure].[All]" dimensionUniqueName="[Table1]" displayFolder="" count="0" memberValueDatatype="5" unbalanced="0"/>
    <cacheHierarchy uniqueName="[Table1].[tenure_group]" caption="tenure_group" attribute="1" defaultMemberUniqueName="[Table1].[tenure_group].[All]" allUniqueName="[Table1].[tenure_group].[All]" dimensionUniqueName="[Table1]" displayFolder="" count="0" memberValueDatatype="130" unbalanced="0"/>
    <cacheHierarchy uniqueName="[Table1].[Salary band]" caption="Salary band" attribute="1" defaultMemberUniqueName="[Table1].[Salary band].[All]" allUniqueName="[Table1].[Salary band].[All]" dimensionUniqueName="[Table1]" displayFolder="" count="0" memberValueDatatype="130" unbalanced="0"/>
    <cacheHierarchy uniqueName="[Measures].[Attrition Rate]" caption="Attrition Rate" measure="1" displayFolder="" measureGroup="Table1" count="0"/>
    <cacheHierarchy uniqueName="[Measures].[Attrited employees]" caption="Attrited employees" measure="1" displayFolder="" measureGroup="Table1" count="0"/>
    <cacheHierarchy uniqueName="[Measures].[Average Tenure_Attrited]" caption="Average Tenure_Attrited"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_ID]" caption="Sum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Active_Flag]" caption="Sum of Active_Flag" measure="1" displayFolder="" measureGroup="Table1"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3"/>
        </ext>
      </extLst>
    </cacheHierarchy>
    <cacheHierarchy uniqueName="[Measures].[Sum of Attrition_Flag]" caption="Sum of Attrition_Flag" measure="1" displayFolder="" measureGroup="Table1"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Employee_ID]" caption="Count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Performance_Rating]" caption="Sum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Average of Performance_Rating]" caption="Average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Sum of Attendance_%]" caption="Sum of Attendance_%" measure="1" displayFolder="" measureGroup="Table1" count="0" hidden="1">
      <extLst>
        <ext xmlns:x15="http://schemas.microsoft.com/office/spreadsheetml/2010/11/main" uri="{B97F6D7D-B522-45F9-BDA1-12C45D357490}">
          <x15:cacheHierarchy aggregatedColumn="12"/>
        </ext>
      </extLst>
    </cacheHierarchy>
    <cacheHierarchy uniqueName="[Measures].[Average of Attendance_%]" caption="Average of Attendance_%" measure="1" displayFolder="" measureGroup="Table1" count="0" hidden="1">
      <extLst>
        <ext xmlns:x15="http://schemas.microsoft.com/office/spreadsheetml/2010/11/main" uri="{B97F6D7D-B522-45F9-BDA1-12C45D357490}">
          <x15:cacheHierarchy aggregatedColumn="12"/>
        </ext>
      </extLst>
    </cacheHierarchy>
    <cacheHierarchy uniqueName="[Measures].[Sum of Training_Hours]" caption="Sum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Average of Training_Hours]" caption="Average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17"/>
        </ext>
      </extLst>
    </cacheHierarchy>
    <cacheHierarchy uniqueName="[Measures].[Average of Tenure]" caption="Average of Tenure"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ope Adeleye" refreshedDate="46153.978320949071" backgroundQuery="1" createdVersion="8" refreshedVersion="8" minRefreshableVersion="3" recordCount="0" supportSubquery="1" supportAdvancedDrill="1" xr:uid="{D6862AF7-8BE8-4F1C-BAC3-F8F263733CC2}">
  <cacheSource type="external" connectionId="1"/>
  <cacheFields count="2">
    <cacheField name="[Table1].[Department].[Department]" caption="Department" numFmtId="0" hierarchy="4" level="1">
      <sharedItems count="5">
        <s v="Finance"/>
        <s v="HR"/>
        <s v="Operations"/>
        <s v="Sales"/>
        <s v="Tech"/>
      </sharedItems>
    </cacheField>
    <cacheField name="[Measures].[Count of Employee_ID]" caption="Count of Employee_ID" numFmtId="0" hierarchy="30" level="32767"/>
  </cacheFields>
  <cacheHierarchies count="39">
    <cacheHierarchy uniqueName="[Table1].[Employee_ID]" caption="Employee_ID" attribute="1" defaultMemberUniqueName="[Table1].[Employee_ID].[All]" allUniqueName="[Table1].[Employee_ID].[All]" dimensionUniqueName="[Table1]" displayFolder="" count="0" memberValueDatatype="2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Job_Role]" caption="Job_Role" attribute="1" defaultMemberUniqueName="[Table1].[Job_Role].[All]" allUniqueName="[Table1].[Job_Role].[All]" dimensionUniqueName="[Table1]" displayFolder="" count="0" memberValueDatatype="130" unbalanced="0"/>
    <cacheHierarchy uniqueName="[Table1].[Salary]" caption="Salary" attribute="1" defaultMemberUniqueName="[Table1].[Salary].[All]" allUniqueName="[Table1].[Salary].[All]" dimensionUniqueName="[Table1]" displayFolder="" count="0" memberValueDatatype="20" unbalanced="0"/>
    <cacheHierarchy uniqueName="[Table1].[Hire_Date]" caption="Hire_Date" attribute="1" defaultMemberUniqueName="[Table1].[Hire_Date].[All]" allUniqueName="[Table1].[Hire_Date].[All]" dimensionUniqueName="[Table1]" displayFolder="" count="0" memberValueDatatype="130" unbalanced="0"/>
    <cacheHierarchy uniqueName="[Table1].[Exit_Date]" caption="Exit_Date" attribute="1" defaultMemberUniqueName="[Table1].[Exit_Date].[All]" allUniqueName="[Table1].[Exit_Date].[All]" dimensionUniqueName="[Table1]" displayFolder="" count="0" memberValueDatatype="130" unbalanced="0"/>
    <cacheHierarchy uniqueName="[Table1].[Employment_Status]" caption="Employment_Status" attribute="1" defaultMemberUniqueName="[Table1].[Employment_Status].[All]" allUniqueName="[Table1].[Employment_Status].[All]" dimensionUniqueName="[Table1]" displayFolder="" count="0" memberValueDatatype="130" unbalanced="0"/>
    <cacheHierarchy uniqueName="[Table1].[Performance_Rating]" caption="Performance_Rating" attribute="1" defaultMemberUniqueName="[Table1].[Performance_Rating].[All]" allUniqueName="[Table1].[Performance_Rating].[All]" dimensionUniqueName="[Table1]" displayFolder="" count="0" memberValueDatatype="20" unbalanced="0"/>
    <cacheHierarchy uniqueName="[Table1].[Training_Hours]" caption="Training_Hours" attribute="1" defaultMemberUniqueName="[Table1].[Training_Hours].[All]" allUniqueName="[Table1].[Training_Hours].[All]" dimensionUniqueName="[Table1]" displayFolder="" count="0" memberValueDatatype="20" unbalanced="0"/>
    <cacheHierarchy uniqueName="[Table1].[Attendance_%]" caption="Attendance_%" attribute="1" defaultMemberUniqueName="[Table1].[Attendance_%].[All]" allUniqueName="[Table1].[Attendance_%].[All]" dimensionUniqueName="[Table1]" displayFolder="" count="0" memberValueDatatype="20" unbalanced="0"/>
    <cacheHierarchy uniqueName="[Table1].[Attrition_Flag]" caption="Attrition_Flag" attribute="1" defaultMemberUniqueName="[Table1].[Attrition_Flag].[All]" allUniqueName="[Table1].[Attrition_Flag].[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Active_Flag]" caption="Active_Flag" attribute="1" defaultMemberUniqueName="[Table1].[Active_Flag].[All]" allUniqueName="[Table1].[Active_Flag].[All]" dimensionUniqueName="[Table1]" displayFolder="" count="0" memberValueDatatype="20" unbalanced="0"/>
    <cacheHierarchy uniqueName="[Table1].[employee count]" caption="employee count" attribute="1" defaultMemberUniqueName="[Table1].[employee count].[All]" allUniqueName="[Table1].[employee count].[All]" dimensionUniqueName="[Table1]" displayFolder="" count="0" memberValueDatatype="20" unbalanced="0"/>
    <cacheHierarchy uniqueName="[Table1].[Tenure]" caption="Tenure" attribute="1" defaultMemberUniqueName="[Table1].[Tenure].[All]" allUniqueName="[Table1].[Tenure].[All]" dimensionUniqueName="[Table1]" displayFolder="" count="0" memberValueDatatype="5" unbalanced="0"/>
    <cacheHierarchy uniqueName="[Table1].[tenure_group]" caption="tenure_group" attribute="1" defaultMemberUniqueName="[Table1].[tenure_group].[All]" allUniqueName="[Table1].[tenure_group].[All]" dimensionUniqueName="[Table1]" displayFolder="" count="0" memberValueDatatype="130" unbalanced="0"/>
    <cacheHierarchy uniqueName="[Table1].[Salary band]" caption="Salary band" attribute="1" defaultMemberUniqueName="[Table1].[Salary band].[All]" allUniqueName="[Table1].[Salary band].[All]" dimensionUniqueName="[Table1]" displayFolder="" count="0" memberValueDatatype="130" unbalanced="0"/>
    <cacheHierarchy uniqueName="[Measures].[Attrition Rate]" caption="Attrition Rate" measure="1" displayFolder="" measureGroup="Table1" count="0"/>
    <cacheHierarchy uniqueName="[Measures].[Attrited employees]" caption="Attrited employees" measure="1" displayFolder="" measureGroup="Table1" count="0"/>
    <cacheHierarchy uniqueName="[Measures].[Average Tenure_Attrited]" caption="Average Tenure_Attrited"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_ID]" caption="Sum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Active_Flag]" caption="Sum of Active_Flag" measure="1" displayFolder="" measureGroup="Table1"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3"/>
        </ext>
      </extLst>
    </cacheHierarchy>
    <cacheHierarchy uniqueName="[Measures].[Sum of Attrition_Flag]" caption="Sum of Attrition_Flag" measure="1" displayFolder="" measureGroup="Table1" count="0" hidden="1">
      <extLst>
        <ext xmlns:x15="http://schemas.microsoft.com/office/spreadsheetml/2010/11/main" uri="{B97F6D7D-B522-45F9-BDA1-12C45D357490}">
          <x15:cacheHierarchy aggregatedColumn="13"/>
        </ext>
      </extLst>
    </cacheHierarchy>
    <cacheHierarchy uniqueName="[Measures].[Count of Employee_ID]" caption="Count of Employee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erformance_Rating]" caption="Sum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Average of Performance_Rating]" caption="Average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Sum of Attendance_%]" caption="Sum of Attendance_%" measure="1" displayFolder="" measureGroup="Table1" count="0" hidden="1">
      <extLst>
        <ext xmlns:x15="http://schemas.microsoft.com/office/spreadsheetml/2010/11/main" uri="{B97F6D7D-B522-45F9-BDA1-12C45D357490}">
          <x15:cacheHierarchy aggregatedColumn="12"/>
        </ext>
      </extLst>
    </cacheHierarchy>
    <cacheHierarchy uniqueName="[Measures].[Average of Attendance_%]" caption="Average of Attendance_%" measure="1" displayFolder="" measureGroup="Table1" count="0" hidden="1">
      <extLst>
        <ext xmlns:x15="http://schemas.microsoft.com/office/spreadsheetml/2010/11/main" uri="{B97F6D7D-B522-45F9-BDA1-12C45D357490}">
          <x15:cacheHierarchy aggregatedColumn="12"/>
        </ext>
      </extLst>
    </cacheHierarchy>
    <cacheHierarchy uniqueName="[Measures].[Sum of Training_Hours]" caption="Sum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Average of Training_Hours]" caption="Average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17"/>
        </ext>
      </extLst>
    </cacheHierarchy>
    <cacheHierarchy uniqueName="[Measures].[Average of Tenure]" caption="Average of Tenure"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ope Adeleye" refreshedDate="46153.978324768519" backgroundQuery="1" createdVersion="8" refreshedVersion="8" minRefreshableVersion="3" recordCount="0" supportSubquery="1" supportAdvancedDrill="1" xr:uid="{0E57F326-1AEB-444B-B078-A5744C6CD43B}">
  <cacheSource type="external" connectionId="1"/>
  <cacheFields count="1">
    <cacheField name="[Measures].[Attrition Rate]" caption="Attrition Rate" numFmtId="0" hierarchy="20" level="32767"/>
  </cacheFields>
  <cacheHierarchies count="39">
    <cacheHierarchy uniqueName="[Table1].[Employee_ID]" caption="Employee_ID" attribute="1" defaultMemberUniqueName="[Table1].[Employee_ID].[All]" allUniqueName="[Table1].[Employee_ID].[All]" dimensionUniqueName="[Table1]" displayFolder="" count="0" memberValueDatatype="2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Job_Role]" caption="Job_Role" attribute="1" defaultMemberUniqueName="[Table1].[Job_Role].[All]" allUniqueName="[Table1].[Job_Role].[All]" dimensionUniqueName="[Table1]" displayFolder="" count="0" memberValueDatatype="130" unbalanced="0"/>
    <cacheHierarchy uniqueName="[Table1].[Salary]" caption="Salary" attribute="1" defaultMemberUniqueName="[Table1].[Salary].[All]" allUniqueName="[Table1].[Salary].[All]" dimensionUniqueName="[Table1]" displayFolder="" count="0" memberValueDatatype="20" unbalanced="0"/>
    <cacheHierarchy uniqueName="[Table1].[Hire_Date]" caption="Hire_Date" attribute="1" defaultMemberUniqueName="[Table1].[Hire_Date].[All]" allUniqueName="[Table1].[Hire_Date].[All]" dimensionUniqueName="[Table1]" displayFolder="" count="0" memberValueDatatype="130" unbalanced="0"/>
    <cacheHierarchy uniqueName="[Table1].[Exit_Date]" caption="Exit_Date" attribute="1" defaultMemberUniqueName="[Table1].[Exit_Date].[All]" allUniqueName="[Table1].[Exit_Date].[All]" dimensionUniqueName="[Table1]" displayFolder="" count="0" memberValueDatatype="130" unbalanced="0"/>
    <cacheHierarchy uniqueName="[Table1].[Employment_Status]" caption="Employment_Status" attribute="1" defaultMemberUniqueName="[Table1].[Employment_Status].[All]" allUniqueName="[Table1].[Employment_Status].[All]" dimensionUniqueName="[Table1]" displayFolder="" count="0" memberValueDatatype="130" unbalanced="0"/>
    <cacheHierarchy uniqueName="[Table1].[Performance_Rating]" caption="Performance_Rating" attribute="1" defaultMemberUniqueName="[Table1].[Performance_Rating].[All]" allUniqueName="[Table1].[Performance_Rating].[All]" dimensionUniqueName="[Table1]" displayFolder="" count="0" memberValueDatatype="20" unbalanced="0"/>
    <cacheHierarchy uniqueName="[Table1].[Training_Hours]" caption="Training_Hours" attribute="1" defaultMemberUniqueName="[Table1].[Training_Hours].[All]" allUniqueName="[Table1].[Training_Hours].[All]" dimensionUniqueName="[Table1]" displayFolder="" count="0" memberValueDatatype="20" unbalanced="0"/>
    <cacheHierarchy uniqueName="[Table1].[Attendance_%]" caption="Attendance_%" attribute="1" defaultMemberUniqueName="[Table1].[Attendance_%].[All]" allUniqueName="[Table1].[Attendance_%].[All]" dimensionUniqueName="[Table1]" displayFolder="" count="0" memberValueDatatype="20" unbalanced="0"/>
    <cacheHierarchy uniqueName="[Table1].[Attrition_Flag]" caption="Attrition_Flag" attribute="1" defaultMemberUniqueName="[Table1].[Attrition_Flag].[All]" allUniqueName="[Table1].[Attrition_Flag].[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Active_Flag]" caption="Active_Flag" attribute="1" defaultMemberUniqueName="[Table1].[Active_Flag].[All]" allUniqueName="[Table1].[Active_Flag].[All]" dimensionUniqueName="[Table1]" displayFolder="" count="0" memberValueDatatype="20" unbalanced="0"/>
    <cacheHierarchy uniqueName="[Table1].[employee count]" caption="employee count" attribute="1" defaultMemberUniqueName="[Table1].[employee count].[All]" allUniqueName="[Table1].[employee count].[All]" dimensionUniqueName="[Table1]" displayFolder="" count="0" memberValueDatatype="20" unbalanced="0"/>
    <cacheHierarchy uniqueName="[Table1].[Tenure]" caption="Tenure" attribute="1" defaultMemberUniqueName="[Table1].[Tenure].[All]" allUniqueName="[Table1].[Tenure].[All]" dimensionUniqueName="[Table1]" displayFolder="" count="0" memberValueDatatype="5" unbalanced="0"/>
    <cacheHierarchy uniqueName="[Table1].[tenure_group]" caption="tenure_group" attribute="1" defaultMemberUniqueName="[Table1].[tenure_group].[All]" allUniqueName="[Table1].[tenure_group].[All]" dimensionUniqueName="[Table1]" displayFolder="" count="0" memberValueDatatype="130" unbalanced="0"/>
    <cacheHierarchy uniqueName="[Table1].[Salary band]" caption="Salary band" attribute="1" defaultMemberUniqueName="[Table1].[Salary band].[All]" allUniqueName="[Table1].[Salary band].[All]" dimensionUniqueName="[Table1]" displayFolder="" count="0" memberValueDatatype="130" unbalanced="0"/>
    <cacheHierarchy uniqueName="[Measures].[Attrition Rate]" caption="Attrition Rate" measure="1" displayFolder="" measureGroup="Table1" count="0" oneField="1">
      <fieldsUsage count="1">
        <fieldUsage x="0"/>
      </fieldsUsage>
    </cacheHierarchy>
    <cacheHierarchy uniqueName="[Measures].[Attrited employees]" caption="Attrited employees" measure="1" displayFolder="" measureGroup="Table1" count="0"/>
    <cacheHierarchy uniqueName="[Measures].[Average Tenure_Attrited]" caption="Average Tenure_Attrited"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_ID]" caption="Sum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Active_Flag]" caption="Sum of Active_Flag" measure="1" displayFolder="" measureGroup="Table1"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3"/>
        </ext>
      </extLst>
    </cacheHierarchy>
    <cacheHierarchy uniqueName="[Measures].[Sum of Attrition_Flag]" caption="Sum of Attrition_Flag" measure="1" displayFolder="" measureGroup="Table1" count="0" hidden="1">
      <extLst>
        <ext xmlns:x15="http://schemas.microsoft.com/office/spreadsheetml/2010/11/main" uri="{B97F6D7D-B522-45F9-BDA1-12C45D357490}">
          <x15:cacheHierarchy aggregatedColumn="13"/>
        </ext>
      </extLst>
    </cacheHierarchy>
    <cacheHierarchy uniqueName="[Measures].[Count of Employee_ID]" caption="Count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Performance_Rating]" caption="Sum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Average of Performance_Rating]" caption="Average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Sum of Attendance_%]" caption="Sum of Attendance_%" measure="1" displayFolder="" measureGroup="Table1" count="0" hidden="1">
      <extLst>
        <ext xmlns:x15="http://schemas.microsoft.com/office/spreadsheetml/2010/11/main" uri="{B97F6D7D-B522-45F9-BDA1-12C45D357490}">
          <x15:cacheHierarchy aggregatedColumn="12"/>
        </ext>
      </extLst>
    </cacheHierarchy>
    <cacheHierarchy uniqueName="[Measures].[Average of Attendance_%]" caption="Average of Attendance_%" measure="1" displayFolder="" measureGroup="Table1" count="0" hidden="1">
      <extLst>
        <ext xmlns:x15="http://schemas.microsoft.com/office/spreadsheetml/2010/11/main" uri="{B97F6D7D-B522-45F9-BDA1-12C45D357490}">
          <x15:cacheHierarchy aggregatedColumn="12"/>
        </ext>
      </extLst>
    </cacheHierarchy>
    <cacheHierarchy uniqueName="[Measures].[Sum of Training_Hours]" caption="Sum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Average of Training_Hours]" caption="Average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17"/>
        </ext>
      </extLst>
    </cacheHierarchy>
    <cacheHierarchy uniqueName="[Measures].[Average of Tenure]" caption="Average of Tenure"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ope Adeleye" refreshedDate="46153.978331018516" backgroundQuery="1" createdVersion="8" refreshedVersion="8" minRefreshableVersion="3" recordCount="0" supportSubquery="1" supportAdvancedDrill="1" xr:uid="{1D20F3C1-EEC4-4F9B-9569-FFA58BB14BF7}">
  <cacheSource type="external" connectionId="1"/>
  <cacheFields count="3">
    <cacheField name="[Measures].[Average of Performance_Rating]" caption="Average of Performance_Rating" numFmtId="0" hierarchy="32" level="32767"/>
    <cacheField name="[Measures].[Average of Training_Hours]" caption="Average of Training_Hours" numFmtId="0" hierarchy="36" level="32767"/>
    <cacheField name="[Table1].[Department].[Department]" caption="Department" numFmtId="0" hierarchy="4" level="1">
      <sharedItems count="5">
        <s v="Finance"/>
        <s v="HR"/>
        <s v="Operations"/>
        <s v="Sales"/>
        <s v="Tech"/>
      </sharedItems>
    </cacheField>
  </cacheFields>
  <cacheHierarchies count="39">
    <cacheHierarchy uniqueName="[Table1].[Employee_ID]" caption="Employee_ID" attribute="1" defaultMemberUniqueName="[Table1].[Employee_ID].[All]" allUniqueName="[Table1].[Employee_ID].[All]" dimensionUniqueName="[Table1]" displayFolder="" count="0" memberValueDatatype="2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2"/>
      </fieldsUsage>
    </cacheHierarchy>
    <cacheHierarchy uniqueName="[Table1].[Job_Role]" caption="Job_Role" attribute="1" defaultMemberUniqueName="[Table1].[Job_Role].[All]" allUniqueName="[Table1].[Job_Role].[All]" dimensionUniqueName="[Table1]" displayFolder="" count="0" memberValueDatatype="130" unbalanced="0"/>
    <cacheHierarchy uniqueName="[Table1].[Salary]" caption="Salary" attribute="1" defaultMemberUniqueName="[Table1].[Salary].[All]" allUniqueName="[Table1].[Salary].[All]" dimensionUniqueName="[Table1]" displayFolder="" count="0" memberValueDatatype="20" unbalanced="0"/>
    <cacheHierarchy uniqueName="[Table1].[Hire_Date]" caption="Hire_Date" attribute="1" defaultMemberUniqueName="[Table1].[Hire_Date].[All]" allUniqueName="[Table1].[Hire_Date].[All]" dimensionUniqueName="[Table1]" displayFolder="" count="0" memberValueDatatype="130" unbalanced="0"/>
    <cacheHierarchy uniqueName="[Table1].[Exit_Date]" caption="Exit_Date" attribute="1" defaultMemberUniqueName="[Table1].[Exit_Date].[All]" allUniqueName="[Table1].[Exit_Date].[All]" dimensionUniqueName="[Table1]" displayFolder="" count="0" memberValueDatatype="130" unbalanced="0"/>
    <cacheHierarchy uniqueName="[Table1].[Employment_Status]" caption="Employment_Status" attribute="1" defaultMemberUniqueName="[Table1].[Employment_Status].[All]" allUniqueName="[Table1].[Employment_Status].[All]" dimensionUniqueName="[Table1]" displayFolder="" count="0" memberValueDatatype="130" unbalanced="0"/>
    <cacheHierarchy uniqueName="[Table1].[Performance_Rating]" caption="Performance_Rating" attribute="1" defaultMemberUniqueName="[Table1].[Performance_Rating].[All]" allUniqueName="[Table1].[Performance_Rating].[All]" dimensionUniqueName="[Table1]" displayFolder="" count="0" memberValueDatatype="20" unbalanced="0"/>
    <cacheHierarchy uniqueName="[Table1].[Training_Hours]" caption="Training_Hours" attribute="1" defaultMemberUniqueName="[Table1].[Training_Hours].[All]" allUniqueName="[Table1].[Training_Hours].[All]" dimensionUniqueName="[Table1]" displayFolder="" count="0" memberValueDatatype="20" unbalanced="0"/>
    <cacheHierarchy uniqueName="[Table1].[Attendance_%]" caption="Attendance_%" attribute="1" defaultMemberUniqueName="[Table1].[Attendance_%].[All]" allUniqueName="[Table1].[Attendance_%].[All]" dimensionUniqueName="[Table1]" displayFolder="" count="0" memberValueDatatype="20" unbalanced="0"/>
    <cacheHierarchy uniqueName="[Table1].[Attrition_Flag]" caption="Attrition_Flag" attribute="1" defaultMemberUniqueName="[Table1].[Attrition_Flag].[All]" allUniqueName="[Table1].[Attrition_Flag].[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Active_Flag]" caption="Active_Flag" attribute="1" defaultMemberUniqueName="[Table1].[Active_Flag].[All]" allUniqueName="[Table1].[Active_Flag].[All]" dimensionUniqueName="[Table1]" displayFolder="" count="0" memberValueDatatype="20" unbalanced="0"/>
    <cacheHierarchy uniqueName="[Table1].[employee count]" caption="employee count" attribute="1" defaultMemberUniqueName="[Table1].[employee count].[All]" allUniqueName="[Table1].[employee count].[All]" dimensionUniqueName="[Table1]" displayFolder="" count="0" memberValueDatatype="20" unbalanced="0"/>
    <cacheHierarchy uniqueName="[Table1].[Tenure]" caption="Tenure" attribute="1" defaultMemberUniqueName="[Table1].[Tenure].[All]" allUniqueName="[Table1].[Tenure].[All]" dimensionUniqueName="[Table1]" displayFolder="" count="0" memberValueDatatype="5" unbalanced="0"/>
    <cacheHierarchy uniqueName="[Table1].[tenure_group]" caption="tenure_group" attribute="1" defaultMemberUniqueName="[Table1].[tenure_group].[All]" allUniqueName="[Table1].[tenure_group].[All]" dimensionUniqueName="[Table1]" displayFolder="" count="0" memberValueDatatype="130" unbalanced="0"/>
    <cacheHierarchy uniqueName="[Table1].[Salary band]" caption="Salary band" attribute="1" defaultMemberUniqueName="[Table1].[Salary band].[All]" allUniqueName="[Table1].[Salary band].[All]" dimensionUniqueName="[Table1]" displayFolder="" count="0" memberValueDatatype="130" unbalanced="0"/>
    <cacheHierarchy uniqueName="[Measures].[Attrition Rate]" caption="Attrition Rate" measure="1" displayFolder="" measureGroup="Table1" count="0"/>
    <cacheHierarchy uniqueName="[Measures].[Attrited employees]" caption="Attrited employees" measure="1" displayFolder="" measureGroup="Table1" count="0"/>
    <cacheHierarchy uniqueName="[Measures].[Average Tenure_Attrited]" caption="Average Tenure_Attrited"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_ID]" caption="Sum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Active_Flag]" caption="Sum of Active_Flag" measure="1" displayFolder="" measureGroup="Table1"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3"/>
        </ext>
      </extLst>
    </cacheHierarchy>
    <cacheHierarchy uniqueName="[Measures].[Sum of Attrition_Flag]" caption="Sum of Attrition_Flag" measure="1" displayFolder="" measureGroup="Table1" count="0" hidden="1">
      <extLst>
        <ext xmlns:x15="http://schemas.microsoft.com/office/spreadsheetml/2010/11/main" uri="{B97F6D7D-B522-45F9-BDA1-12C45D357490}">
          <x15:cacheHierarchy aggregatedColumn="13"/>
        </ext>
      </extLst>
    </cacheHierarchy>
    <cacheHierarchy uniqueName="[Measures].[Count of Employee_ID]" caption="Count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Performance_Rating]" caption="Sum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Average of Performance_Rating]" caption="Average of Performance_Rating"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Attendance_%]" caption="Sum of Attendance_%" measure="1" displayFolder="" measureGroup="Table1" count="0" hidden="1">
      <extLst>
        <ext xmlns:x15="http://schemas.microsoft.com/office/spreadsheetml/2010/11/main" uri="{B97F6D7D-B522-45F9-BDA1-12C45D357490}">
          <x15:cacheHierarchy aggregatedColumn="12"/>
        </ext>
      </extLst>
    </cacheHierarchy>
    <cacheHierarchy uniqueName="[Measures].[Average of Attendance_%]" caption="Average of Attendance_%" measure="1" displayFolder="" measureGroup="Table1" count="0" hidden="1">
      <extLst>
        <ext xmlns:x15="http://schemas.microsoft.com/office/spreadsheetml/2010/11/main" uri="{B97F6D7D-B522-45F9-BDA1-12C45D357490}">
          <x15:cacheHierarchy aggregatedColumn="12"/>
        </ext>
      </extLst>
    </cacheHierarchy>
    <cacheHierarchy uniqueName="[Measures].[Sum of Training_Hours]" caption="Sum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Average of Training_Hours]" caption="Average of Training_Hour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17"/>
        </ext>
      </extLst>
    </cacheHierarchy>
    <cacheHierarchy uniqueName="[Measures].[Average of Tenure]" caption="Average of Tenure"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ope Adeleye" refreshedDate="46153.978325578704" backgroundQuery="1" createdVersion="8" refreshedVersion="8" minRefreshableVersion="3" recordCount="0" supportSubquery="1" supportAdvancedDrill="1" xr:uid="{8E91EE67-9314-4DBC-8FFE-32AF5A334E8F}">
  <cacheSource type="external" connectionId="1"/>
  <cacheFields count="1">
    <cacheField name="[Measures].[Sum of Attrition_Flag]" caption="Sum of Attrition_Flag" numFmtId="0" hierarchy="29" level="32767"/>
  </cacheFields>
  <cacheHierarchies count="39">
    <cacheHierarchy uniqueName="[Table1].[Employee_ID]" caption="Employee_ID" attribute="1" defaultMemberUniqueName="[Table1].[Employee_ID].[All]" allUniqueName="[Table1].[Employee_ID].[All]" dimensionUniqueName="[Table1]" displayFolder="" count="0" memberValueDatatype="2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Job_Role]" caption="Job_Role" attribute="1" defaultMemberUniqueName="[Table1].[Job_Role].[All]" allUniqueName="[Table1].[Job_Role].[All]" dimensionUniqueName="[Table1]" displayFolder="" count="0" memberValueDatatype="130" unbalanced="0"/>
    <cacheHierarchy uniqueName="[Table1].[Salary]" caption="Salary" attribute="1" defaultMemberUniqueName="[Table1].[Salary].[All]" allUniqueName="[Table1].[Salary].[All]" dimensionUniqueName="[Table1]" displayFolder="" count="0" memberValueDatatype="20" unbalanced="0"/>
    <cacheHierarchy uniqueName="[Table1].[Hire_Date]" caption="Hire_Date" attribute="1" defaultMemberUniqueName="[Table1].[Hire_Date].[All]" allUniqueName="[Table1].[Hire_Date].[All]" dimensionUniqueName="[Table1]" displayFolder="" count="0" memberValueDatatype="130" unbalanced="0"/>
    <cacheHierarchy uniqueName="[Table1].[Exit_Date]" caption="Exit_Date" attribute="1" defaultMemberUniqueName="[Table1].[Exit_Date].[All]" allUniqueName="[Table1].[Exit_Date].[All]" dimensionUniqueName="[Table1]" displayFolder="" count="0" memberValueDatatype="130" unbalanced="0"/>
    <cacheHierarchy uniqueName="[Table1].[Employment_Status]" caption="Employment_Status" attribute="1" defaultMemberUniqueName="[Table1].[Employment_Status].[All]" allUniqueName="[Table1].[Employment_Status].[All]" dimensionUniqueName="[Table1]" displayFolder="" count="0" memberValueDatatype="130" unbalanced="0"/>
    <cacheHierarchy uniqueName="[Table1].[Performance_Rating]" caption="Performance_Rating" attribute="1" defaultMemberUniqueName="[Table1].[Performance_Rating].[All]" allUniqueName="[Table1].[Performance_Rating].[All]" dimensionUniqueName="[Table1]" displayFolder="" count="0" memberValueDatatype="20" unbalanced="0"/>
    <cacheHierarchy uniqueName="[Table1].[Training_Hours]" caption="Training_Hours" attribute="1" defaultMemberUniqueName="[Table1].[Training_Hours].[All]" allUniqueName="[Table1].[Training_Hours].[All]" dimensionUniqueName="[Table1]" displayFolder="" count="0" memberValueDatatype="20" unbalanced="0"/>
    <cacheHierarchy uniqueName="[Table1].[Attendance_%]" caption="Attendance_%" attribute="1" defaultMemberUniqueName="[Table1].[Attendance_%].[All]" allUniqueName="[Table1].[Attendance_%].[All]" dimensionUniqueName="[Table1]" displayFolder="" count="0" memberValueDatatype="20" unbalanced="0"/>
    <cacheHierarchy uniqueName="[Table1].[Attrition_Flag]" caption="Attrition_Flag" attribute="1" defaultMemberUniqueName="[Table1].[Attrition_Flag].[All]" allUniqueName="[Table1].[Attrition_Flag].[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Active_Flag]" caption="Active_Flag" attribute="1" defaultMemberUniqueName="[Table1].[Active_Flag].[All]" allUniqueName="[Table1].[Active_Flag].[All]" dimensionUniqueName="[Table1]" displayFolder="" count="0" memberValueDatatype="20" unbalanced="0"/>
    <cacheHierarchy uniqueName="[Table1].[employee count]" caption="employee count" attribute="1" defaultMemberUniqueName="[Table1].[employee count].[All]" allUniqueName="[Table1].[employee count].[All]" dimensionUniqueName="[Table1]" displayFolder="" count="0" memberValueDatatype="20" unbalanced="0"/>
    <cacheHierarchy uniqueName="[Table1].[Tenure]" caption="Tenure" attribute="1" defaultMemberUniqueName="[Table1].[Tenure].[All]" allUniqueName="[Table1].[Tenure].[All]" dimensionUniqueName="[Table1]" displayFolder="" count="0" memberValueDatatype="5" unbalanced="0"/>
    <cacheHierarchy uniqueName="[Table1].[tenure_group]" caption="tenure_group" attribute="1" defaultMemberUniqueName="[Table1].[tenure_group].[All]" allUniqueName="[Table1].[tenure_group].[All]" dimensionUniqueName="[Table1]" displayFolder="" count="0" memberValueDatatype="130" unbalanced="0"/>
    <cacheHierarchy uniqueName="[Table1].[Salary band]" caption="Salary band" attribute="1" defaultMemberUniqueName="[Table1].[Salary band].[All]" allUniqueName="[Table1].[Salary band].[All]" dimensionUniqueName="[Table1]" displayFolder="" count="0" memberValueDatatype="130" unbalanced="0"/>
    <cacheHierarchy uniqueName="[Measures].[Attrition Rate]" caption="Attrition Rate" measure="1" displayFolder="" measureGroup="Table1" count="0"/>
    <cacheHierarchy uniqueName="[Measures].[Attrited employees]" caption="Attrited employees" measure="1" displayFolder="" measureGroup="Table1" count="0"/>
    <cacheHierarchy uniqueName="[Measures].[Average Tenure_Attrited]" caption="Average Tenure_Attrited"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_ID]" caption="Sum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Active_Flag]" caption="Sum of Active_Flag" measure="1" displayFolder="" measureGroup="Table1"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3"/>
        </ext>
      </extLst>
    </cacheHierarchy>
    <cacheHierarchy uniqueName="[Measures].[Sum of Attrition_Flag]" caption="Sum of Attrition_Flag" measure="1" displayFolder="" measureGroup="Table1"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Employee_ID]" caption="Count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Performance_Rating]" caption="Sum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Average of Performance_Rating]" caption="Average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Sum of Attendance_%]" caption="Sum of Attendance_%" measure="1" displayFolder="" measureGroup="Table1" count="0" hidden="1">
      <extLst>
        <ext xmlns:x15="http://schemas.microsoft.com/office/spreadsheetml/2010/11/main" uri="{B97F6D7D-B522-45F9-BDA1-12C45D357490}">
          <x15:cacheHierarchy aggregatedColumn="12"/>
        </ext>
      </extLst>
    </cacheHierarchy>
    <cacheHierarchy uniqueName="[Measures].[Average of Attendance_%]" caption="Average of Attendance_%" measure="1" displayFolder="" measureGroup="Table1" count="0" hidden="1">
      <extLst>
        <ext xmlns:x15="http://schemas.microsoft.com/office/spreadsheetml/2010/11/main" uri="{B97F6D7D-B522-45F9-BDA1-12C45D357490}">
          <x15:cacheHierarchy aggregatedColumn="12"/>
        </ext>
      </extLst>
    </cacheHierarchy>
    <cacheHierarchy uniqueName="[Measures].[Sum of Training_Hours]" caption="Sum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Average of Training_Hours]" caption="Average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17"/>
        </ext>
      </extLst>
    </cacheHierarchy>
    <cacheHierarchy uniqueName="[Measures].[Average of Tenure]" caption="Average of Tenure"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ope Adeleye" refreshedDate="46153.978321875002" backgroundQuery="1" createdVersion="8" refreshedVersion="8" minRefreshableVersion="3" recordCount="0" supportSubquery="1" supportAdvancedDrill="1" xr:uid="{64D2B77A-FBC9-4128-8C25-7B4F279B745C}">
  <cacheSource type="external" connectionId="1"/>
  <cacheFields count="1">
    <cacheField name="[Measures].[Average of Training_Hours]" caption="Average of Training_Hours" numFmtId="0" hierarchy="36" level="32767"/>
  </cacheFields>
  <cacheHierarchies count="39">
    <cacheHierarchy uniqueName="[Table1].[Employee_ID]" caption="Employee_ID" attribute="1" defaultMemberUniqueName="[Table1].[Employee_ID].[All]" allUniqueName="[Table1].[Employee_ID].[All]" dimensionUniqueName="[Table1]" displayFolder="" count="0" memberValueDatatype="2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Job_Role]" caption="Job_Role" attribute="1" defaultMemberUniqueName="[Table1].[Job_Role].[All]" allUniqueName="[Table1].[Job_Role].[All]" dimensionUniqueName="[Table1]" displayFolder="" count="0" memberValueDatatype="130" unbalanced="0"/>
    <cacheHierarchy uniqueName="[Table1].[Salary]" caption="Salary" attribute="1" defaultMemberUniqueName="[Table1].[Salary].[All]" allUniqueName="[Table1].[Salary].[All]" dimensionUniqueName="[Table1]" displayFolder="" count="0" memberValueDatatype="20" unbalanced="0"/>
    <cacheHierarchy uniqueName="[Table1].[Hire_Date]" caption="Hire_Date" attribute="1" defaultMemberUniqueName="[Table1].[Hire_Date].[All]" allUniqueName="[Table1].[Hire_Date].[All]" dimensionUniqueName="[Table1]" displayFolder="" count="0" memberValueDatatype="130" unbalanced="0"/>
    <cacheHierarchy uniqueName="[Table1].[Exit_Date]" caption="Exit_Date" attribute="1" defaultMemberUniqueName="[Table1].[Exit_Date].[All]" allUniqueName="[Table1].[Exit_Date].[All]" dimensionUniqueName="[Table1]" displayFolder="" count="0" memberValueDatatype="130" unbalanced="0"/>
    <cacheHierarchy uniqueName="[Table1].[Employment_Status]" caption="Employment_Status" attribute="1" defaultMemberUniqueName="[Table1].[Employment_Status].[All]" allUniqueName="[Table1].[Employment_Status].[All]" dimensionUniqueName="[Table1]" displayFolder="" count="0" memberValueDatatype="130" unbalanced="0"/>
    <cacheHierarchy uniqueName="[Table1].[Performance_Rating]" caption="Performance_Rating" attribute="1" defaultMemberUniqueName="[Table1].[Performance_Rating].[All]" allUniqueName="[Table1].[Performance_Rating].[All]" dimensionUniqueName="[Table1]" displayFolder="" count="0" memberValueDatatype="20" unbalanced="0"/>
    <cacheHierarchy uniqueName="[Table1].[Training_Hours]" caption="Training_Hours" attribute="1" defaultMemberUniqueName="[Table1].[Training_Hours].[All]" allUniqueName="[Table1].[Training_Hours].[All]" dimensionUniqueName="[Table1]" displayFolder="" count="0" memberValueDatatype="20" unbalanced="0"/>
    <cacheHierarchy uniqueName="[Table1].[Attendance_%]" caption="Attendance_%" attribute="1" defaultMemberUniqueName="[Table1].[Attendance_%].[All]" allUniqueName="[Table1].[Attendance_%].[All]" dimensionUniqueName="[Table1]" displayFolder="" count="0" memberValueDatatype="20" unbalanced="0"/>
    <cacheHierarchy uniqueName="[Table1].[Attrition_Flag]" caption="Attrition_Flag" attribute="1" defaultMemberUniqueName="[Table1].[Attrition_Flag].[All]" allUniqueName="[Table1].[Attrition_Flag].[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Active_Flag]" caption="Active_Flag" attribute="1" defaultMemberUniqueName="[Table1].[Active_Flag].[All]" allUniqueName="[Table1].[Active_Flag].[All]" dimensionUniqueName="[Table1]" displayFolder="" count="0" memberValueDatatype="20" unbalanced="0"/>
    <cacheHierarchy uniqueName="[Table1].[employee count]" caption="employee count" attribute="1" defaultMemberUniqueName="[Table1].[employee count].[All]" allUniqueName="[Table1].[employee count].[All]" dimensionUniqueName="[Table1]" displayFolder="" count="0" memberValueDatatype="20" unbalanced="0"/>
    <cacheHierarchy uniqueName="[Table1].[Tenure]" caption="Tenure" attribute="1" defaultMemberUniqueName="[Table1].[Tenure].[All]" allUniqueName="[Table1].[Tenure].[All]" dimensionUniqueName="[Table1]" displayFolder="" count="0" memberValueDatatype="5" unbalanced="0"/>
    <cacheHierarchy uniqueName="[Table1].[tenure_group]" caption="tenure_group" attribute="1" defaultMemberUniqueName="[Table1].[tenure_group].[All]" allUniqueName="[Table1].[tenure_group].[All]" dimensionUniqueName="[Table1]" displayFolder="" count="0" memberValueDatatype="130" unbalanced="0"/>
    <cacheHierarchy uniqueName="[Table1].[Salary band]" caption="Salary band" attribute="1" defaultMemberUniqueName="[Table1].[Salary band].[All]" allUniqueName="[Table1].[Salary band].[All]" dimensionUniqueName="[Table1]" displayFolder="" count="0" memberValueDatatype="130" unbalanced="0"/>
    <cacheHierarchy uniqueName="[Measures].[Attrition Rate]" caption="Attrition Rate" measure="1" displayFolder="" measureGroup="Table1" count="0"/>
    <cacheHierarchy uniqueName="[Measures].[Attrited employees]" caption="Attrited employees" measure="1" displayFolder="" measureGroup="Table1" count="0"/>
    <cacheHierarchy uniqueName="[Measures].[Average Tenure_Attrited]" caption="Average Tenure_Attrited"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_ID]" caption="Sum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Active_Flag]" caption="Sum of Active_Flag" measure="1" displayFolder="" measureGroup="Table1"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3"/>
        </ext>
      </extLst>
    </cacheHierarchy>
    <cacheHierarchy uniqueName="[Measures].[Sum of Attrition_Flag]" caption="Sum of Attrition_Flag" measure="1" displayFolder="" measureGroup="Table1" count="0" hidden="1">
      <extLst>
        <ext xmlns:x15="http://schemas.microsoft.com/office/spreadsheetml/2010/11/main" uri="{B97F6D7D-B522-45F9-BDA1-12C45D357490}">
          <x15:cacheHierarchy aggregatedColumn="13"/>
        </ext>
      </extLst>
    </cacheHierarchy>
    <cacheHierarchy uniqueName="[Measures].[Count of Employee_ID]" caption="Count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Performance_Rating]" caption="Sum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Average of Performance_Rating]" caption="Average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Sum of Attendance_%]" caption="Sum of Attendance_%" measure="1" displayFolder="" measureGroup="Table1" count="0" hidden="1">
      <extLst>
        <ext xmlns:x15="http://schemas.microsoft.com/office/spreadsheetml/2010/11/main" uri="{B97F6D7D-B522-45F9-BDA1-12C45D357490}">
          <x15:cacheHierarchy aggregatedColumn="12"/>
        </ext>
      </extLst>
    </cacheHierarchy>
    <cacheHierarchy uniqueName="[Measures].[Average of Attendance_%]" caption="Average of Attendance_%" measure="1" displayFolder="" measureGroup="Table1" count="0" hidden="1">
      <extLst>
        <ext xmlns:x15="http://schemas.microsoft.com/office/spreadsheetml/2010/11/main" uri="{B97F6D7D-B522-45F9-BDA1-12C45D357490}">
          <x15:cacheHierarchy aggregatedColumn="12"/>
        </ext>
      </extLst>
    </cacheHierarchy>
    <cacheHierarchy uniqueName="[Measures].[Sum of Training_Hours]" caption="Sum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Average of Training_Hours]" caption="Average of Training_Hour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17"/>
        </ext>
      </extLst>
    </cacheHierarchy>
    <cacheHierarchy uniqueName="[Measures].[Average of Tenure]" caption="Average of Tenure"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ope Adeleye" refreshedDate="46153.978317013891" backgroundQuery="1" createdVersion="8" refreshedVersion="8" minRefreshableVersion="3" recordCount="0" supportSubquery="1" supportAdvancedDrill="1" xr:uid="{ED7DEBCD-8EFC-40CE-91F3-92E3943EDA9D}">
  <cacheSource type="external" connectionId="1"/>
  <cacheFields count="1">
    <cacheField name="[Measures].[Average Tenure_Attrited]" caption="Average Tenure_Attrited" numFmtId="0" hierarchy="22" level="32767"/>
  </cacheFields>
  <cacheHierarchies count="39">
    <cacheHierarchy uniqueName="[Table1].[Employee_ID]" caption="Employee_ID" attribute="1" defaultMemberUniqueName="[Table1].[Employee_ID].[All]" allUniqueName="[Table1].[Employee_ID].[All]" dimensionUniqueName="[Table1]" displayFolder="" count="0" memberValueDatatype="2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Job_Role]" caption="Job_Role" attribute="1" defaultMemberUniqueName="[Table1].[Job_Role].[All]" allUniqueName="[Table1].[Job_Role].[All]" dimensionUniqueName="[Table1]" displayFolder="" count="0" memberValueDatatype="130" unbalanced="0"/>
    <cacheHierarchy uniqueName="[Table1].[Salary]" caption="Salary" attribute="1" defaultMemberUniqueName="[Table1].[Salary].[All]" allUniqueName="[Table1].[Salary].[All]" dimensionUniqueName="[Table1]" displayFolder="" count="0" memberValueDatatype="20" unbalanced="0"/>
    <cacheHierarchy uniqueName="[Table1].[Hire_Date]" caption="Hire_Date" attribute="1" defaultMemberUniqueName="[Table1].[Hire_Date].[All]" allUniqueName="[Table1].[Hire_Date].[All]" dimensionUniqueName="[Table1]" displayFolder="" count="0" memberValueDatatype="130" unbalanced="0"/>
    <cacheHierarchy uniqueName="[Table1].[Exit_Date]" caption="Exit_Date" attribute="1" defaultMemberUniqueName="[Table1].[Exit_Date].[All]" allUniqueName="[Table1].[Exit_Date].[All]" dimensionUniqueName="[Table1]" displayFolder="" count="0" memberValueDatatype="130" unbalanced="0"/>
    <cacheHierarchy uniqueName="[Table1].[Employment_Status]" caption="Employment_Status" attribute="1" defaultMemberUniqueName="[Table1].[Employment_Status].[All]" allUniqueName="[Table1].[Employment_Status].[All]" dimensionUniqueName="[Table1]" displayFolder="" count="0" memberValueDatatype="130" unbalanced="0"/>
    <cacheHierarchy uniqueName="[Table1].[Performance_Rating]" caption="Performance_Rating" attribute="1" defaultMemberUniqueName="[Table1].[Performance_Rating].[All]" allUniqueName="[Table1].[Performance_Rating].[All]" dimensionUniqueName="[Table1]" displayFolder="" count="0" memberValueDatatype="20" unbalanced="0"/>
    <cacheHierarchy uniqueName="[Table1].[Training_Hours]" caption="Training_Hours" attribute="1" defaultMemberUniqueName="[Table1].[Training_Hours].[All]" allUniqueName="[Table1].[Training_Hours].[All]" dimensionUniqueName="[Table1]" displayFolder="" count="0" memberValueDatatype="20" unbalanced="0"/>
    <cacheHierarchy uniqueName="[Table1].[Attendance_%]" caption="Attendance_%" attribute="1" defaultMemberUniqueName="[Table1].[Attendance_%].[All]" allUniqueName="[Table1].[Attendance_%].[All]" dimensionUniqueName="[Table1]" displayFolder="" count="0" memberValueDatatype="20" unbalanced="0"/>
    <cacheHierarchy uniqueName="[Table1].[Attrition_Flag]" caption="Attrition_Flag" attribute="1" defaultMemberUniqueName="[Table1].[Attrition_Flag].[All]" allUniqueName="[Table1].[Attrition_Flag].[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Active_Flag]" caption="Active_Flag" attribute="1" defaultMemberUniqueName="[Table1].[Active_Flag].[All]" allUniqueName="[Table1].[Active_Flag].[All]" dimensionUniqueName="[Table1]" displayFolder="" count="0" memberValueDatatype="20" unbalanced="0"/>
    <cacheHierarchy uniqueName="[Table1].[employee count]" caption="employee count" attribute="1" defaultMemberUniqueName="[Table1].[employee count].[All]" allUniqueName="[Table1].[employee count].[All]" dimensionUniqueName="[Table1]" displayFolder="" count="0" memberValueDatatype="20" unbalanced="0"/>
    <cacheHierarchy uniqueName="[Table1].[Tenure]" caption="Tenure" attribute="1" defaultMemberUniqueName="[Table1].[Tenure].[All]" allUniqueName="[Table1].[Tenure].[All]" dimensionUniqueName="[Table1]" displayFolder="" count="0" memberValueDatatype="5" unbalanced="0"/>
    <cacheHierarchy uniqueName="[Table1].[tenure_group]" caption="tenure_group" attribute="1" defaultMemberUniqueName="[Table1].[tenure_group].[All]" allUniqueName="[Table1].[tenure_group].[All]" dimensionUniqueName="[Table1]" displayFolder="" count="0" memberValueDatatype="130" unbalanced="0"/>
    <cacheHierarchy uniqueName="[Table1].[Salary band]" caption="Salary band" attribute="1" defaultMemberUniqueName="[Table1].[Salary band].[All]" allUniqueName="[Table1].[Salary band].[All]" dimensionUniqueName="[Table1]" displayFolder="" count="0" memberValueDatatype="130" unbalanced="0"/>
    <cacheHierarchy uniqueName="[Measures].[Attrition Rate]" caption="Attrition Rate" measure="1" displayFolder="" measureGroup="Table1" count="0"/>
    <cacheHierarchy uniqueName="[Measures].[Attrited employees]" caption="Attrited employees" measure="1" displayFolder="" measureGroup="Table1" count="0"/>
    <cacheHierarchy uniqueName="[Measures].[Average Tenure_Attrited]" caption="Average Tenure_Attrited" measure="1" displayFolder="" measureGroup="Table1" count="0" oneField="1">
      <fieldsUsage count="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_ID]" caption="Sum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Active_Flag]" caption="Sum of Active_Flag" measure="1" displayFolder="" measureGroup="Table1"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3"/>
        </ext>
      </extLst>
    </cacheHierarchy>
    <cacheHierarchy uniqueName="[Measures].[Sum of Attrition_Flag]" caption="Sum of Attrition_Flag" measure="1" displayFolder="" measureGroup="Table1" count="0" hidden="1">
      <extLst>
        <ext xmlns:x15="http://schemas.microsoft.com/office/spreadsheetml/2010/11/main" uri="{B97F6D7D-B522-45F9-BDA1-12C45D357490}">
          <x15:cacheHierarchy aggregatedColumn="13"/>
        </ext>
      </extLst>
    </cacheHierarchy>
    <cacheHierarchy uniqueName="[Measures].[Count of Employee_ID]" caption="Count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Performance_Rating]" caption="Sum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Average of Performance_Rating]" caption="Average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Sum of Attendance_%]" caption="Sum of Attendance_%" measure="1" displayFolder="" measureGroup="Table1" count="0" hidden="1">
      <extLst>
        <ext xmlns:x15="http://schemas.microsoft.com/office/spreadsheetml/2010/11/main" uri="{B97F6D7D-B522-45F9-BDA1-12C45D357490}">
          <x15:cacheHierarchy aggregatedColumn="12"/>
        </ext>
      </extLst>
    </cacheHierarchy>
    <cacheHierarchy uniqueName="[Measures].[Average of Attendance_%]" caption="Average of Attendance_%" measure="1" displayFolder="" measureGroup="Table1" count="0" hidden="1">
      <extLst>
        <ext xmlns:x15="http://schemas.microsoft.com/office/spreadsheetml/2010/11/main" uri="{B97F6D7D-B522-45F9-BDA1-12C45D357490}">
          <x15:cacheHierarchy aggregatedColumn="12"/>
        </ext>
      </extLst>
    </cacheHierarchy>
    <cacheHierarchy uniqueName="[Measures].[Sum of Training_Hours]" caption="Sum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Average of Training_Hours]" caption="Average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17"/>
        </ext>
      </extLst>
    </cacheHierarchy>
    <cacheHierarchy uniqueName="[Measures].[Average of Tenure]" caption="Average of Tenure"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ope Adeleye" refreshedDate="46153.978329976853" backgroundQuery="1" createdVersion="8" refreshedVersion="8" minRefreshableVersion="3" recordCount="0" supportSubquery="1" supportAdvancedDrill="1" xr:uid="{B1B02883-3175-4A91-8C6B-7976739BCA5C}">
  <cacheSource type="external" connectionId="1"/>
  <cacheFields count="2">
    <cacheField name="[Table1].[Department].[Department]" caption="Department" numFmtId="0" hierarchy="4" level="1">
      <sharedItems count="5">
        <s v="Finance"/>
        <s v="HR"/>
        <s v="Operations"/>
        <s v="Sales"/>
        <s v="Tech"/>
      </sharedItems>
    </cacheField>
    <cacheField name="[Measures].[Average of Performance_Rating]" caption="Average of Performance_Rating" numFmtId="0" hierarchy="32" level="32767"/>
  </cacheFields>
  <cacheHierarchies count="39">
    <cacheHierarchy uniqueName="[Table1].[Employee_ID]" caption="Employee_ID" attribute="1" defaultMemberUniqueName="[Table1].[Employee_ID].[All]" allUniqueName="[Table1].[Employee_ID].[All]" dimensionUniqueName="[Table1]" displayFolder="" count="0" memberValueDatatype="2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Job_Role]" caption="Job_Role" attribute="1" defaultMemberUniqueName="[Table1].[Job_Role].[All]" allUniqueName="[Table1].[Job_Role].[All]" dimensionUniqueName="[Table1]" displayFolder="" count="0" memberValueDatatype="130" unbalanced="0"/>
    <cacheHierarchy uniqueName="[Table1].[Salary]" caption="Salary" attribute="1" defaultMemberUniqueName="[Table1].[Salary].[All]" allUniqueName="[Table1].[Salary].[All]" dimensionUniqueName="[Table1]" displayFolder="" count="0" memberValueDatatype="20" unbalanced="0"/>
    <cacheHierarchy uniqueName="[Table1].[Hire_Date]" caption="Hire_Date" attribute="1" defaultMemberUniqueName="[Table1].[Hire_Date].[All]" allUniqueName="[Table1].[Hire_Date].[All]" dimensionUniqueName="[Table1]" displayFolder="" count="0" memberValueDatatype="130" unbalanced="0"/>
    <cacheHierarchy uniqueName="[Table1].[Exit_Date]" caption="Exit_Date" attribute="1" defaultMemberUniqueName="[Table1].[Exit_Date].[All]" allUniqueName="[Table1].[Exit_Date].[All]" dimensionUniqueName="[Table1]" displayFolder="" count="0" memberValueDatatype="130" unbalanced="0"/>
    <cacheHierarchy uniqueName="[Table1].[Employment_Status]" caption="Employment_Status" attribute="1" defaultMemberUniqueName="[Table1].[Employment_Status].[All]" allUniqueName="[Table1].[Employment_Status].[All]" dimensionUniqueName="[Table1]" displayFolder="" count="0" memberValueDatatype="130" unbalanced="0"/>
    <cacheHierarchy uniqueName="[Table1].[Performance_Rating]" caption="Performance_Rating" attribute="1" defaultMemberUniqueName="[Table1].[Performance_Rating].[All]" allUniqueName="[Table1].[Performance_Rating].[All]" dimensionUniqueName="[Table1]" displayFolder="" count="0" memberValueDatatype="20" unbalanced="0"/>
    <cacheHierarchy uniqueName="[Table1].[Training_Hours]" caption="Training_Hours" attribute="1" defaultMemberUniqueName="[Table1].[Training_Hours].[All]" allUniqueName="[Table1].[Training_Hours].[All]" dimensionUniqueName="[Table1]" displayFolder="" count="0" memberValueDatatype="20" unbalanced="0"/>
    <cacheHierarchy uniqueName="[Table1].[Attendance_%]" caption="Attendance_%" attribute="1" defaultMemberUniqueName="[Table1].[Attendance_%].[All]" allUniqueName="[Table1].[Attendance_%].[All]" dimensionUniqueName="[Table1]" displayFolder="" count="0" memberValueDatatype="20" unbalanced="0"/>
    <cacheHierarchy uniqueName="[Table1].[Attrition_Flag]" caption="Attrition_Flag" attribute="1" defaultMemberUniqueName="[Table1].[Attrition_Flag].[All]" allUniqueName="[Table1].[Attrition_Flag].[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Active_Flag]" caption="Active_Flag" attribute="1" defaultMemberUniqueName="[Table1].[Active_Flag].[All]" allUniqueName="[Table1].[Active_Flag].[All]" dimensionUniqueName="[Table1]" displayFolder="" count="0" memberValueDatatype="20" unbalanced="0"/>
    <cacheHierarchy uniqueName="[Table1].[employee count]" caption="employee count" attribute="1" defaultMemberUniqueName="[Table1].[employee count].[All]" allUniqueName="[Table1].[employee count].[All]" dimensionUniqueName="[Table1]" displayFolder="" count="0" memberValueDatatype="20" unbalanced="0"/>
    <cacheHierarchy uniqueName="[Table1].[Tenure]" caption="Tenure" attribute="1" defaultMemberUniqueName="[Table1].[Tenure].[All]" allUniqueName="[Table1].[Tenure].[All]" dimensionUniqueName="[Table1]" displayFolder="" count="0" memberValueDatatype="5" unbalanced="0"/>
    <cacheHierarchy uniqueName="[Table1].[tenure_group]" caption="tenure_group" attribute="1" defaultMemberUniqueName="[Table1].[tenure_group].[All]" allUniqueName="[Table1].[tenure_group].[All]" dimensionUniqueName="[Table1]" displayFolder="" count="0" memberValueDatatype="130" unbalanced="0"/>
    <cacheHierarchy uniqueName="[Table1].[Salary band]" caption="Salary band" attribute="1" defaultMemberUniqueName="[Table1].[Salary band].[All]" allUniqueName="[Table1].[Salary band].[All]" dimensionUniqueName="[Table1]" displayFolder="" count="0" memberValueDatatype="130" unbalanced="0"/>
    <cacheHierarchy uniqueName="[Measures].[Attrition Rate]" caption="Attrition Rate" measure="1" displayFolder="" measureGroup="Table1" count="0"/>
    <cacheHierarchy uniqueName="[Measures].[Attrited employees]" caption="Attrited employees" measure="1" displayFolder="" measureGroup="Table1" count="0"/>
    <cacheHierarchy uniqueName="[Measures].[Average Tenure_Attrited]" caption="Average Tenure_Attrited"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_ID]" caption="Sum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Active_Flag]" caption="Sum of Active_Flag" measure="1" displayFolder="" measureGroup="Table1"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3"/>
        </ext>
      </extLst>
    </cacheHierarchy>
    <cacheHierarchy uniqueName="[Measures].[Sum of Attrition_Flag]" caption="Sum of Attrition_Flag" measure="1" displayFolder="" measureGroup="Table1" count="0" hidden="1">
      <extLst>
        <ext xmlns:x15="http://schemas.microsoft.com/office/spreadsheetml/2010/11/main" uri="{B97F6D7D-B522-45F9-BDA1-12C45D357490}">
          <x15:cacheHierarchy aggregatedColumn="13"/>
        </ext>
      </extLst>
    </cacheHierarchy>
    <cacheHierarchy uniqueName="[Measures].[Count of Employee_ID]" caption="Count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Performance_Rating]" caption="Sum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Average of Performance_Rating]" caption="Average of Performance_Rating"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Attendance_%]" caption="Sum of Attendance_%" measure="1" displayFolder="" measureGroup="Table1" count="0" hidden="1">
      <extLst>
        <ext xmlns:x15="http://schemas.microsoft.com/office/spreadsheetml/2010/11/main" uri="{B97F6D7D-B522-45F9-BDA1-12C45D357490}">
          <x15:cacheHierarchy aggregatedColumn="12"/>
        </ext>
      </extLst>
    </cacheHierarchy>
    <cacheHierarchy uniqueName="[Measures].[Average of Attendance_%]" caption="Average of Attendance_%" measure="1" displayFolder="" measureGroup="Table1" count="0" hidden="1">
      <extLst>
        <ext xmlns:x15="http://schemas.microsoft.com/office/spreadsheetml/2010/11/main" uri="{B97F6D7D-B522-45F9-BDA1-12C45D357490}">
          <x15:cacheHierarchy aggregatedColumn="12"/>
        </ext>
      </extLst>
    </cacheHierarchy>
    <cacheHierarchy uniqueName="[Measures].[Sum of Training_Hours]" caption="Sum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Average of Training_Hours]" caption="Average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17"/>
        </ext>
      </extLst>
    </cacheHierarchy>
    <cacheHierarchy uniqueName="[Measures].[Average of Tenure]" caption="Average of Tenure"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ope Adeleye" refreshedDate="46153.978326273151" backgroundQuery="1" createdVersion="8" refreshedVersion="8" minRefreshableVersion="3" recordCount="0" supportSubquery="1" supportAdvancedDrill="1" xr:uid="{0AC1E1BF-E0AF-47C6-BC18-062402E55AB7}">
  <cacheSource type="external" connectionId="1"/>
  <cacheFields count="1">
    <cacheField name="[Measures].[Average of Age]" caption="Average of Age" numFmtId="0" hierarchy="28" level="32767"/>
  </cacheFields>
  <cacheHierarchies count="39">
    <cacheHierarchy uniqueName="[Table1].[Employee_ID]" caption="Employee_ID" attribute="1" defaultMemberUniqueName="[Table1].[Employee_ID].[All]" allUniqueName="[Table1].[Employee_ID].[All]" dimensionUniqueName="[Table1]" displayFolder="" count="0" memberValueDatatype="2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Job_Role]" caption="Job_Role" attribute="1" defaultMemberUniqueName="[Table1].[Job_Role].[All]" allUniqueName="[Table1].[Job_Role].[All]" dimensionUniqueName="[Table1]" displayFolder="" count="0" memberValueDatatype="130" unbalanced="0"/>
    <cacheHierarchy uniqueName="[Table1].[Salary]" caption="Salary" attribute="1" defaultMemberUniqueName="[Table1].[Salary].[All]" allUniqueName="[Table1].[Salary].[All]" dimensionUniqueName="[Table1]" displayFolder="" count="0" memberValueDatatype="20" unbalanced="0"/>
    <cacheHierarchy uniqueName="[Table1].[Hire_Date]" caption="Hire_Date" attribute="1" defaultMemberUniqueName="[Table1].[Hire_Date].[All]" allUniqueName="[Table1].[Hire_Date].[All]" dimensionUniqueName="[Table1]" displayFolder="" count="0" memberValueDatatype="130" unbalanced="0"/>
    <cacheHierarchy uniqueName="[Table1].[Exit_Date]" caption="Exit_Date" attribute="1" defaultMemberUniqueName="[Table1].[Exit_Date].[All]" allUniqueName="[Table1].[Exit_Date].[All]" dimensionUniqueName="[Table1]" displayFolder="" count="0" memberValueDatatype="130" unbalanced="0"/>
    <cacheHierarchy uniqueName="[Table1].[Employment_Status]" caption="Employment_Status" attribute="1" defaultMemberUniqueName="[Table1].[Employment_Status].[All]" allUniqueName="[Table1].[Employment_Status].[All]" dimensionUniqueName="[Table1]" displayFolder="" count="0" memberValueDatatype="130" unbalanced="0"/>
    <cacheHierarchy uniqueName="[Table1].[Performance_Rating]" caption="Performance_Rating" attribute="1" defaultMemberUniqueName="[Table1].[Performance_Rating].[All]" allUniqueName="[Table1].[Performance_Rating].[All]" dimensionUniqueName="[Table1]" displayFolder="" count="0" memberValueDatatype="20" unbalanced="0"/>
    <cacheHierarchy uniqueName="[Table1].[Training_Hours]" caption="Training_Hours" attribute="1" defaultMemberUniqueName="[Table1].[Training_Hours].[All]" allUniqueName="[Table1].[Training_Hours].[All]" dimensionUniqueName="[Table1]" displayFolder="" count="0" memberValueDatatype="20" unbalanced="0"/>
    <cacheHierarchy uniqueName="[Table1].[Attendance_%]" caption="Attendance_%" attribute="1" defaultMemberUniqueName="[Table1].[Attendance_%].[All]" allUniqueName="[Table1].[Attendance_%].[All]" dimensionUniqueName="[Table1]" displayFolder="" count="0" memberValueDatatype="20" unbalanced="0"/>
    <cacheHierarchy uniqueName="[Table1].[Attrition_Flag]" caption="Attrition_Flag" attribute="1" defaultMemberUniqueName="[Table1].[Attrition_Flag].[All]" allUniqueName="[Table1].[Attrition_Flag].[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Active_Flag]" caption="Active_Flag" attribute="1" defaultMemberUniqueName="[Table1].[Active_Flag].[All]" allUniqueName="[Table1].[Active_Flag].[All]" dimensionUniqueName="[Table1]" displayFolder="" count="0" memberValueDatatype="20" unbalanced="0"/>
    <cacheHierarchy uniqueName="[Table1].[employee count]" caption="employee count" attribute="1" defaultMemberUniqueName="[Table1].[employee count].[All]" allUniqueName="[Table1].[employee count].[All]" dimensionUniqueName="[Table1]" displayFolder="" count="0" memberValueDatatype="20" unbalanced="0"/>
    <cacheHierarchy uniqueName="[Table1].[Tenure]" caption="Tenure" attribute="1" defaultMemberUniqueName="[Table1].[Tenure].[All]" allUniqueName="[Table1].[Tenure].[All]" dimensionUniqueName="[Table1]" displayFolder="" count="0" memberValueDatatype="5" unbalanced="0"/>
    <cacheHierarchy uniqueName="[Table1].[tenure_group]" caption="tenure_group" attribute="1" defaultMemberUniqueName="[Table1].[tenure_group].[All]" allUniqueName="[Table1].[tenure_group].[All]" dimensionUniqueName="[Table1]" displayFolder="" count="0" memberValueDatatype="130" unbalanced="0"/>
    <cacheHierarchy uniqueName="[Table1].[Salary band]" caption="Salary band" attribute="1" defaultMemberUniqueName="[Table1].[Salary band].[All]" allUniqueName="[Table1].[Salary band].[All]" dimensionUniqueName="[Table1]" displayFolder="" count="0" memberValueDatatype="130" unbalanced="0"/>
    <cacheHierarchy uniqueName="[Measures].[Attrition Rate]" caption="Attrition Rate" measure="1" displayFolder="" measureGroup="Table1" count="0"/>
    <cacheHierarchy uniqueName="[Measures].[Attrited employees]" caption="Attrited employees" measure="1" displayFolder="" measureGroup="Table1" count="0"/>
    <cacheHierarchy uniqueName="[Measures].[Average Tenure_Attrited]" caption="Average Tenure_Attrited"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_ID]" caption="Sum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Active_Flag]" caption="Sum of Active_Flag" measure="1" displayFolder="" measureGroup="Table1"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Table1"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Attrition_Flag]" caption="Sum of Attrition_Flag" measure="1" displayFolder="" measureGroup="Table1" count="0" hidden="1">
      <extLst>
        <ext xmlns:x15="http://schemas.microsoft.com/office/spreadsheetml/2010/11/main" uri="{B97F6D7D-B522-45F9-BDA1-12C45D357490}">
          <x15:cacheHierarchy aggregatedColumn="13"/>
        </ext>
      </extLst>
    </cacheHierarchy>
    <cacheHierarchy uniqueName="[Measures].[Count of Employee_ID]" caption="Count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Performance_Rating]" caption="Sum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Average of Performance_Rating]" caption="Average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Sum of Attendance_%]" caption="Sum of Attendance_%" measure="1" displayFolder="" measureGroup="Table1" count="0" hidden="1">
      <extLst>
        <ext xmlns:x15="http://schemas.microsoft.com/office/spreadsheetml/2010/11/main" uri="{B97F6D7D-B522-45F9-BDA1-12C45D357490}">
          <x15:cacheHierarchy aggregatedColumn="12"/>
        </ext>
      </extLst>
    </cacheHierarchy>
    <cacheHierarchy uniqueName="[Measures].[Average of Attendance_%]" caption="Average of Attendance_%" measure="1" displayFolder="" measureGroup="Table1" count="0" hidden="1">
      <extLst>
        <ext xmlns:x15="http://schemas.microsoft.com/office/spreadsheetml/2010/11/main" uri="{B97F6D7D-B522-45F9-BDA1-12C45D357490}">
          <x15:cacheHierarchy aggregatedColumn="12"/>
        </ext>
      </extLst>
    </cacheHierarchy>
    <cacheHierarchy uniqueName="[Measures].[Sum of Training_Hours]" caption="Sum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Average of Training_Hours]" caption="Average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17"/>
        </ext>
      </extLst>
    </cacheHierarchy>
    <cacheHierarchy uniqueName="[Measures].[Average of Tenure]" caption="Average of Tenure"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ope Adeleye" refreshedDate="46154.01420208333" backgroundQuery="1" createdVersion="8" refreshedVersion="8" minRefreshableVersion="3" recordCount="0" supportSubquery="1" supportAdvancedDrill="1" xr:uid="{62AFA0E5-6E70-46EB-B387-DE4D7D8F5A1A}">
  <cacheSource type="external" connectionId="1"/>
  <cacheFields count="4">
    <cacheField name="[Measures].[Average of Performance_Rating]" caption="Average of Performance_Rating" numFmtId="0" hierarchy="32" level="32767"/>
    <cacheField name="[Table1].[Department].[Department]" caption="Department" numFmtId="0" hierarchy="4" level="1">
      <sharedItems count="5">
        <s v="Finance"/>
        <s v="HR"/>
        <s v="Operations"/>
        <s v="Sales"/>
        <s v="Tech"/>
      </sharedItems>
    </cacheField>
    <cacheField name="[Measures].[Average of Attendance_%]" caption="Average of Attendance_%" numFmtId="0" hierarchy="34" level="32767"/>
    <cacheField name="[Table1].[Age_group].[Age_group]" caption="Age_group" numFmtId="0" hierarchy="14" level="1">
      <sharedItems containsSemiMixedTypes="0" containsNonDate="0" containsString="0"/>
    </cacheField>
  </cacheFields>
  <cacheHierarchies count="39">
    <cacheHierarchy uniqueName="[Table1].[Employee_ID]" caption="Employee_ID" attribute="1" defaultMemberUniqueName="[Table1].[Employee_ID].[All]" allUniqueName="[Table1].[Employee_ID].[All]" dimensionUniqueName="[Table1]" displayFolder="" count="2" memberValueDatatype="20" unbalanced="0"/>
    <cacheHierarchy uniqueName="[Table1].[Name]" caption="Name" attribute="1" defaultMemberUniqueName="[Table1].[Name].[All]" allUniqueName="[Table1].[Name].[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1"/>
      </fieldsUsage>
    </cacheHierarchy>
    <cacheHierarchy uniqueName="[Table1].[Job_Role]" caption="Job_Role" attribute="1" defaultMemberUniqueName="[Table1].[Job_Role].[All]" allUniqueName="[Table1].[Job_Role].[All]" dimensionUniqueName="[Table1]" displayFolder="" count="2" memberValueDatatype="130" unbalanced="0"/>
    <cacheHierarchy uniqueName="[Table1].[Salary]" caption="Salary" attribute="1" defaultMemberUniqueName="[Table1].[Salary].[All]" allUniqueName="[Table1].[Salary].[All]" dimensionUniqueName="[Table1]" displayFolder="" count="2" memberValueDatatype="20" unbalanced="0"/>
    <cacheHierarchy uniqueName="[Table1].[Hire_Date]" caption="Hire_Date" attribute="1" defaultMemberUniqueName="[Table1].[Hire_Date].[All]" allUniqueName="[Table1].[Hire_Date].[All]" dimensionUniqueName="[Table1]" displayFolder="" count="2" memberValueDatatype="130" unbalanced="0"/>
    <cacheHierarchy uniqueName="[Table1].[Exit_Date]" caption="Exit_Date" attribute="1" defaultMemberUniqueName="[Table1].[Exit_Date].[All]" allUniqueName="[Table1].[Exit_Date].[All]" dimensionUniqueName="[Table1]" displayFolder="" count="2" memberValueDatatype="130" unbalanced="0"/>
    <cacheHierarchy uniqueName="[Table1].[Employment_Status]" caption="Employment_Status" attribute="1" defaultMemberUniqueName="[Table1].[Employment_Status].[All]" allUniqueName="[Table1].[Employment_Status].[All]" dimensionUniqueName="[Table1]" displayFolder="" count="2" memberValueDatatype="130" unbalanced="0"/>
    <cacheHierarchy uniqueName="[Table1].[Performance_Rating]" caption="Performance_Rating" attribute="1" defaultMemberUniqueName="[Table1].[Performance_Rating].[All]" allUniqueName="[Table1].[Performance_Rating].[All]" dimensionUniqueName="[Table1]" displayFolder="" count="2" memberValueDatatype="20" unbalanced="0"/>
    <cacheHierarchy uniqueName="[Table1].[Training_Hours]" caption="Training_Hours" attribute="1" defaultMemberUniqueName="[Table1].[Training_Hours].[All]" allUniqueName="[Table1].[Training_Hours].[All]" dimensionUniqueName="[Table1]" displayFolder="" count="2" memberValueDatatype="20" unbalanced="0"/>
    <cacheHierarchy uniqueName="[Table1].[Attendance_%]" caption="Attendance_%" attribute="1" defaultMemberUniqueName="[Table1].[Attendance_%].[All]" allUniqueName="[Table1].[Attendance_%].[All]" dimensionUniqueName="[Table1]" displayFolder="" count="2" memberValueDatatype="20" unbalanced="0"/>
    <cacheHierarchy uniqueName="[Table1].[Attrition_Flag]" caption="Attrition_Flag" attribute="1" defaultMemberUniqueName="[Table1].[Attrition_Flag].[All]" allUniqueName="[Table1].[Attrition_Flag].[All]" dimensionUniqueName="[Table1]" displayFolder="" count="2" memberValueDatatype="20" unbalanced="0"/>
    <cacheHierarchy uniqueName="[Table1].[Age_group]" caption="Age_group" attribute="1" defaultMemberUniqueName="[Table1].[Age_group].[All]" allUniqueName="[Table1].[Age_group].[All]" dimensionUniqueName="[Table1]" displayFolder="" count="2" memberValueDatatype="130" unbalanced="0">
      <fieldsUsage count="2">
        <fieldUsage x="-1"/>
        <fieldUsage x="3"/>
      </fieldsUsage>
    </cacheHierarchy>
    <cacheHierarchy uniqueName="[Table1].[Active_Flag]" caption="Active_Flag" attribute="1" defaultMemberUniqueName="[Table1].[Active_Flag].[All]" allUniqueName="[Table1].[Active_Flag].[All]" dimensionUniqueName="[Table1]" displayFolder="" count="2" memberValueDatatype="20" unbalanced="0"/>
    <cacheHierarchy uniqueName="[Table1].[employee count]" caption="employee count" attribute="1" defaultMemberUniqueName="[Table1].[employee count].[All]" allUniqueName="[Table1].[employee count].[All]" dimensionUniqueName="[Table1]" displayFolder="" count="2" memberValueDatatype="20" unbalanced="0"/>
    <cacheHierarchy uniqueName="[Table1].[Tenure]" caption="Tenure" attribute="1" defaultMemberUniqueName="[Table1].[Tenure].[All]" allUniqueName="[Table1].[Tenure].[All]" dimensionUniqueName="[Table1]" displayFolder="" count="2" memberValueDatatype="5" unbalanced="0"/>
    <cacheHierarchy uniqueName="[Table1].[tenure_group]" caption="tenure_group" attribute="1" defaultMemberUniqueName="[Table1].[tenure_group].[All]" allUniqueName="[Table1].[tenure_group].[All]" dimensionUniqueName="[Table1]" displayFolder="" count="2" memberValueDatatype="130" unbalanced="0"/>
    <cacheHierarchy uniqueName="[Table1].[Salary band]" caption="Salary band" attribute="1" defaultMemberUniqueName="[Table1].[Salary band].[All]" allUniqueName="[Table1].[Salary band].[All]" dimensionUniqueName="[Table1]" displayFolder="" count="2" memberValueDatatype="130" unbalanced="0"/>
    <cacheHierarchy uniqueName="[Measures].[Attrition Rate]" caption="Attrition Rate" measure="1" displayFolder="" measureGroup="Table1" count="0"/>
    <cacheHierarchy uniqueName="[Measures].[Attrited employees]" caption="Attrited employees" measure="1" displayFolder="" measureGroup="Table1" count="0"/>
    <cacheHierarchy uniqueName="[Measures].[Average Tenure_Attrited]" caption="Average Tenure_Attrited"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_ID]" caption="Sum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Active_Flag]" caption="Sum of Active_Flag" measure="1" displayFolder="" measureGroup="Table1"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3"/>
        </ext>
      </extLst>
    </cacheHierarchy>
    <cacheHierarchy uniqueName="[Measures].[Sum of Attrition_Flag]" caption="Sum of Attrition_Flag" measure="1" displayFolder="" measureGroup="Table1" count="0" hidden="1">
      <extLst>
        <ext xmlns:x15="http://schemas.microsoft.com/office/spreadsheetml/2010/11/main" uri="{B97F6D7D-B522-45F9-BDA1-12C45D357490}">
          <x15:cacheHierarchy aggregatedColumn="13"/>
        </ext>
      </extLst>
    </cacheHierarchy>
    <cacheHierarchy uniqueName="[Measures].[Count of Employee_ID]" caption="Count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Performance_Rating]" caption="Sum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Average of Performance_Rating]" caption="Average of Performance_Rating"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Attendance_%]" caption="Sum of Attendance_%" measure="1" displayFolder="" measureGroup="Table1" count="0" hidden="1">
      <extLst>
        <ext xmlns:x15="http://schemas.microsoft.com/office/spreadsheetml/2010/11/main" uri="{B97F6D7D-B522-45F9-BDA1-12C45D357490}">
          <x15:cacheHierarchy aggregatedColumn="12"/>
        </ext>
      </extLst>
    </cacheHierarchy>
    <cacheHierarchy uniqueName="[Measures].[Average of Attendance_%]" caption="Average of Attendance_%" measure="1" displayFolder="" measureGroup="Table1"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Training_Hours]" caption="Sum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Average of Training_Hours]" caption="Average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17"/>
        </ext>
      </extLst>
    </cacheHierarchy>
    <cacheHierarchy uniqueName="[Measures].[Average of Tenure]" caption="Average of Tenure"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ope Adeleye" refreshedDate="46160.573414583334" backgroundQuery="1" createdVersion="8" refreshedVersion="8" minRefreshableVersion="3" recordCount="0" supportSubquery="1" supportAdvancedDrill="1" xr:uid="{730A4E73-7577-4012-987D-1C34CDE05371}">
  <cacheSource type="external" connectionId="1"/>
  <cacheFields count="3">
    <cacheField name="[Table1].[tenure_group].[tenure_group]" caption="tenure_group" numFmtId="0" hierarchy="18" level="1">
      <sharedItems count="4">
        <s v="0-1"/>
        <s v="1-3"/>
        <s v="3-5"/>
        <s v="5-8"/>
      </sharedItems>
    </cacheField>
    <cacheField name="[Measures].[Sum of Attrition_Flag]" caption="Sum of Attrition_Flag" numFmtId="0" hierarchy="29" level="32767"/>
    <cacheField name="[Table1].[Department].[Department]" caption="Department" numFmtId="0" hierarchy="4" level="1">
      <sharedItems containsSemiMixedTypes="0" containsNonDate="0" containsString="0"/>
    </cacheField>
  </cacheFields>
  <cacheHierarchies count="39">
    <cacheHierarchy uniqueName="[Table1].[Employee_ID]" caption="Employee_ID" attribute="1" defaultMemberUniqueName="[Table1].[Employee_ID].[All]" allUniqueName="[Table1].[Employee_ID].[All]" dimensionUniqueName="[Table1]" displayFolder="" count="2" memberValueDatatype="20" unbalanced="0"/>
    <cacheHierarchy uniqueName="[Table1].[Name]" caption="Name" attribute="1" defaultMemberUniqueName="[Table1].[Name].[All]" allUniqueName="[Table1].[Name].[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2"/>
      </fieldsUsage>
    </cacheHierarchy>
    <cacheHierarchy uniqueName="[Table1].[Job_Role]" caption="Job_Role" attribute="1" defaultMemberUniqueName="[Table1].[Job_Role].[All]" allUniqueName="[Table1].[Job_Role].[All]" dimensionUniqueName="[Table1]" displayFolder="" count="2" memberValueDatatype="130" unbalanced="0"/>
    <cacheHierarchy uniqueName="[Table1].[Salary]" caption="Salary" attribute="1" defaultMemberUniqueName="[Table1].[Salary].[All]" allUniqueName="[Table1].[Salary].[All]" dimensionUniqueName="[Table1]" displayFolder="" count="2" memberValueDatatype="20" unbalanced="0"/>
    <cacheHierarchy uniqueName="[Table1].[Hire_Date]" caption="Hire_Date" attribute="1" defaultMemberUniqueName="[Table1].[Hire_Date].[All]" allUniqueName="[Table1].[Hire_Date].[All]" dimensionUniqueName="[Table1]" displayFolder="" count="2" memberValueDatatype="130" unbalanced="0"/>
    <cacheHierarchy uniqueName="[Table1].[Exit_Date]" caption="Exit_Date" attribute="1" defaultMemberUniqueName="[Table1].[Exit_Date].[All]" allUniqueName="[Table1].[Exit_Date].[All]" dimensionUniqueName="[Table1]" displayFolder="" count="2" memberValueDatatype="130" unbalanced="0"/>
    <cacheHierarchy uniqueName="[Table1].[Employment_Status]" caption="Employment_Status" attribute="1" defaultMemberUniqueName="[Table1].[Employment_Status].[All]" allUniqueName="[Table1].[Employment_Status].[All]" dimensionUniqueName="[Table1]" displayFolder="" count="2" memberValueDatatype="130" unbalanced="0"/>
    <cacheHierarchy uniqueName="[Table1].[Performance_Rating]" caption="Performance_Rating" attribute="1" defaultMemberUniqueName="[Table1].[Performance_Rating].[All]" allUniqueName="[Table1].[Performance_Rating].[All]" dimensionUniqueName="[Table1]" displayFolder="" count="2" memberValueDatatype="20" unbalanced="0"/>
    <cacheHierarchy uniqueName="[Table1].[Training_Hours]" caption="Training_Hours" attribute="1" defaultMemberUniqueName="[Table1].[Training_Hours].[All]" allUniqueName="[Table1].[Training_Hours].[All]" dimensionUniqueName="[Table1]" displayFolder="" count="2" memberValueDatatype="20" unbalanced="0"/>
    <cacheHierarchy uniqueName="[Table1].[Attendance_%]" caption="Attendance_%" attribute="1" defaultMemberUniqueName="[Table1].[Attendance_%].[All]" allUniqueName="[Table1].[Attendance_%].[All]" dimensionUniqueName="[Table1]" displayFolder="" count="2" memberValueDatatype="20" unbalanced="0"/>
    <cacheHierarchy uniqueName="[Table1].[Attrition_Flag]" caption="Attrition_Flag" attribute="1" defaultMemberUniqueName="[Table1].[Attrition_Flag].[All]" allUniqueName="[Table1].[Attrition_Flag].[All]" dimensionUniqueName="[Table1]" displayFolder="" count="2" memberValueDatatype="20" unbalanced="0"/>
    <cacheHierarchy uniqueName="[Table1].[Age_group]" caption="Age_group" attribute="1" defaultMemberUniqueName="[Table1].[Age_group].[All]" allUniqueName="[Table1].[Age_group].[All]" dimensionUniqueName="[Table1]" displayFolder="" count="2" memberValueDatatype="130" unbalanced="0"/>
    <cacheHierarchy uniqueName="[Table1].[Active_Flag]" caption="Active_Flag" attribute="1" defaultMemberUniqueName="[Table1].[Active_Flag].[All]" allUniqueName="[Table1].[Active_Flag].[All]" dimensionUniqueName="[Table1]" displayFolder="" count="2" memberValueDatatype="20" unbalanced="0"/>
    <cacheHierarchy uniqueName="[Table1].[employee count]" caption="employee count" attribute="1" defaultMemberUniqueName="[Table1].[employee count].[All]" allUniqueName="[Table1].[employee count].[All]" dimensionUniqueName="[Table1]" displayFolder="" count="2" memberValueDatatype="20" unbalanced="0"/>
    <cacheHierarchy uniqueName="[Table1].[Tenure]" caption="Tenure" attribute="1" defaultMemberUniqueName="[Table1].[Tenure].[All]" allUniqueName="[Table1].[Tenure].[All]" dimensionUniqueName="[Table1]" displayFolder="" count="2" memberValueDatatype="5" unbalanced="0"/>
    <cacheHierarchy uniqueName="[Table1].[tenure_group]" caption="tenure_group" attribute="1" defaultMemberUniqueName="[Table1].[tenure_group].[All]" allUniqueName="[Table1].[tenure_group].[All]" dimensionUniqueName="[Table1]" displayFolder="" count="2" memberValueDatatype="130" unbalanced="0">
      <fieldsUsage count="2">
        <fieldUsage x="-1"/>
        <fieldUsage x="0"/>
      </fieldsUsage>
    </cacheHierarchy>
    <cacheHierarchy uniqueName="[Table1].[Salary band]" caption="Salary band" attribute="1" defaultMemberUniqueName="[Table1].[Salary band].[All]" allUniqueName="[Table1].[Salary band].[All]" dimensionUniqueName="[Table1]" displayFolder="" count="2" memberValueDatatype="130" unbalanced="0"/>
    <cacheHierarchy uniqueName="[Measures].[Attrition Rate]" caption="Attrition Rate" measure="1" displayFolder="" measureGroup="Table1" count="0"/>
    <cacheHierarchy uniqueName="[Measures].[Attrited employees]" caption="Attrited employees" measure="1" displayFolder="" measureGroup="Table1" count="0"/>
    <cacheHierarchy uniqueName="[Measures].[Average Tenure_Attrited]" caption="Average Tenure_Attrited"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_ID]" caption="Sum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Active_Flag]" caption="Sum of Active_Flag" measure="1" displayFolder="" measureGroup="Table1"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3"/>
        </ext>
      </extLst>
    </cacheHierarchy>
    <cacheHierarchy uniqueName="[Measures].[Sum of Attrition_Flag]" caption="Sum of Attrition_Flag"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Employee_ID]" caption="Count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Performance_Rating]" caption="Sum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Average of Performance_Rating]" caption="Average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Sum of Attendance_%]" caption="Sum of Attendance_%" measure="1" displayFolder="" measureGroup="Table1" count="0" hidden="1">
      <extLst>
        <ext xmlns:x15="http://schemas.microsoft.com/office/spreadsheetml/2010/11/main" uri="{B97F6D7D-B522-45F9-BDA1-12C45D357490}">
          <x15:cacheHierarchy aggregatedColumn="12"/>
        </ext>
      </extLst>
    </cacheHierarchy>
    <cacheHierarchy uniqueName="[Measures].[Average of Attendance_%]" caption="Average of Attendance_%" measure="1" displayFolder="" measureGroup="Table1" count="0" hidden="1">
      <extLst>
        <ext xmlns:x15="http://schemas.microsoft.com/office/spreadsheetml/2010/11/main" uri="{B97F6D7D-B522-45F9-BDA1-12C45D357490}">
          <x15:cacheHierarchy aggregatedColumn="12"/>
        </ext>
      </extLst>
    </cacheHierarchy>
    <cacheHierarchy uniqueName="[Measures].[Sum of Training_Hours]" caption="Sum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Average of Training_Hours]" caption="Average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17"/>
        </ext>
      </extLst>
    </cacheHierarchy>
    <cacheHierarchy uniqueName="[Measures].[Average of Tenure]" caption="Average of Tenure"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ope Adeleye" refreshedDate="46160.573457523147" backgroundQuery="1" createdVersion="8" refreshedVersion="8" minRefreshableVersion="3" recordCount="0" supportSubquery="1" supportAdvancedDrill="1" xr:uid="{3DE26A4D-2D1E-47DE-9B31-385B8E2339F8}">
  <cacheSource type="external" connectionId="1"/>
  <cacheFields count="3">
    <cacheField name="[Measures].[Sum of Attrition_Flag]" caption="Sum of Attrition_Flag" numFmtId="0" hierarchy="29" level="32767"/>
    <cacheField name="[Table1].[Salary band].[Salary band]" caption="Salary band" numFmtId="0" hierarchy="19" level="1">
      <sharedItems count="3">
        <s v="High (801k - 1.2m)"/>
        <s v="Low (180k-500k)"/>
        <s v="Medium (501k-800k)"/>
      </sharedItems>
    </cacheField>
    <cacheField name="[Table1].[Gender].[Gender]" caption="Gender" numFmtId="0" hierarchy="2" level="1">
      <sharedItems containsSemiMixedTypes="0" containsNonDate="0" containsString="0"/>
    </cacheField>
  </cacheFields>
  <cacheHierarchies count="39">
    <cacheHierarchy uniqueName="[Table1].[Employee_ID]" caption="Employee_ID" attribute="1" defaultMemberUniqueName="[Table1].[Employee_ID].[All]" allUniqueName="[Table1].[Employee_ID].[All]" dimensionUniqueName="[Table1]" displayFolder="" count="2" memberValueDatatype="20" unbalanced="0"/>
    <cacheHierarchy uniqueName="[Table1].[Name]" caption="Name" attribute="1" defaultMemberUniqueName="[Table1].[Name].[All]" allUniqueName="[Table1].[Name].[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2"/>
      </fieldsUsage>
    </cacheHierarchy>
    <cacheHierarchy uniqueName="[Table1].[Age]" caption="Age" attribute="1" defaultMemberUniqueName="[Table1].[Age].[All]" allUniqueName="[Table1].[Age].[All]" dimensionUniqueName="[Table1]" displayFolder="" count="2"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Job_Role]" caption="Job_Role" attribute="1" defaultMemberUniqueName="[Table1].[Job_Role].[All]" allUniqueName="[Table1].[Job_Role].[All]" dimensionUniqueName="[Table1]" displayFolder="" count="2" memberValueDatatype="130" unbalanced="0"/>
    <cacheHierarchy uniqueName="[Table1].[Salary]" caption="Salary" attribute="1" defaultMemberUniqueName="[Table1].[Salary].[All]" allUniqueName="[Table1].[Salary].[All]" dimensionUniqueName="[Table1]" displayFolder="" count="2" memberValueDatatype="20" unbalanced="0"/>
    <cacheHierarchy uniqueName="[Table1].[Hire_Date]" caption="Hire_Date" attribute="1" defaultMemberUniqueName="[Table1].[Hire_Date].[All]" allUniqueName="[Table1].[Hire_Date].[All]" dimensionUniqueName="[Table1]" displayFolder="" count="2" memberValueDatatype="130" unbalanced="0"/>
    <cacheHierarchy uniqueName="[Table1].[Exit_Date]" caption="Exit_Date" attribute="1" defaultMemberUniqueName="[Table1].[Exit_Date].[All]" allUniqueName="[Table1].[Exit_Date].[All]" dimensionUniqueName="[Table1]" displayFolder="" count="2" memberValueDatatype="130" unbalanced="0"/>
    <cacheHierarchy uniqueName="[Table1].[Employment_Status]" caption="Employment_Status" attribute="1" defaultMemberUniqueName="[Table1].[Employment_Status].[All]" allUniqueName="[Table1].[Employment_Status].[All]" dimensionUniqueName="[Table1]" displayFolder="" count="2" memberValueDatatype="130" unbalanced="0"/>
    <cacheHierarchy uniqueName="[Table1].[Performance_Rating]" caption="Performance_Rating" attribute="1" defaultMemberUniqueName="[Table1].[Performance_Rating].[All]" allUniqueName="[Table1].[Performance_Rating].[All]" dimensionUniqueName="[Table1]" displayFolder="" count="2" memberValueDatatype="20" unbalanced="0"/>
    <cacheHierarchy uniqueName="[Table1].[Training_Hours]" caption="Training_Hours" attribute="1" defaultMemberUniqueName="[Table1].[Training_Hours].[All]" allUniqueName="[Table1].[Training_Hours].[All]" dimensionUniqueName="[Table1]" displayFolder="" count="2" memberValueDatatype="20" unbalanced="0"/>
    <cacheHierarchy uniqueName="[Table1].[Attendance_%]" caption="Attendance_%" attribute="1" defaultMemberUniqueName="[Table1].[Attendance_%].[All]" allUniqueName="[Table1].[Attendance_%].[All]" dimensionUniqueName="[Table1]" displayFolder="" count="2" memberValueDatatype="20" unbalanced="0"/>
    <cacheHierarchy uniqueName="[Table1].[Attrition_Flag]" caption="Attrition_Flag" attribute="1" defaultMemberUniqueName="[Table1].[Attrition_Flag].[All]" allUniqueName="[Table1].[Attrition_Flag].[All]" dimensionUniqueName="[Table1]" displayFolder="" count="2" memberValueDatatype="20" unbalanced="0"/>
    <cacheHierarchy uniqueName="[Table1].[Age_group]" caption="Age_group" attribute="1" defaultMemberUniqueName="[Table1].[Age_group].[All]" allUniqueName="[Table1].[Age_group].[All]" dimensionUniqueName="[Table1]" displayFolder="" count="2" memberValueDatatype="130" unbalanced="0"/>
    <cacheHierarchy uniqueName="[Table1].[Active_Flag]" caption="Active_Flag" attribute="1" defaultMemberUniqueName="[Table1].[Active_Flag].[All]" allUniqueName="[Table1].[Active_Flag].[All]" dimensionUniqueName="[Table1]" displayFolder="" count="2" memberValueDatatype="20" unbalanced="0"/>
    <cacheHierarchy uniqueName="[Table1].[employee count]" caption="employee count" attribute="1" defaultMemberUniqueName="[Table1].[employee count].[All]" allUniqueName="[Table1].[employee count].[All]" dimensionUniqueName="[Table1]" displayFolder="" count="2" memberValueDatatype="20" unbalanced="0"/>
    <cacheHierarchy uniqueName="[Table1].[Tenure]" caption="Tenure" attribute="1" defaultMemberUniqueName="[Table1].[Tenure].[All]" allUniqueName="[Table1].[Tenure].[All]" dimensionUniqueName="[Table1]" displayFolder="" count="2" memberValueDatatype="5" unbalanced="0"/>
    <cacheHierarchy uniqueName="[Table1].[tenure_group]" caption="tenure_group" attribute="1" defaultMemberUniqueName="[Table1].[tenure_group].[All]" allUniqueName="[Table1].[tenure_group].[All]" dimensionUniqueName="[Table1]" displayFolder="" count="2" memberValueDatatype="130" unbalanced="0"/>
    <cacheHierarchy uniqueName="[Table1].[Salary band]" caption="Salary band" attribute="1" defaultMemberUniqueName="[Table1].[Salary band].[All]" allUniqueName="[Table1].[Salary band].[All]" dimensionUniqueName="[Table1]" displayFolder="" count="2" memberValueDatatype="130" unbalanced="0">
      <fieldsUsage count="2">
        <fieldUsage x="-1"/>
        <fieldUsage x="1"/>
      </fieldsUsage>
    </cacheHierarchy>
    <cacheHierarchy uniqueName="[Measures].[Attrition Rate]" caption="Attrition Rate" measure="1" displayFolder="" measureGroup="Table1" count="0"/>
    <cacheHierarchy uniqueName="[Measures].[Attrited employees]" caption="Attrited employees" measure="1" displayFolder="" measureGroup="Table1" count="0"/>
    <cacheHierarchy uniqueName="[Measures].[Average Tenure_Attrited]" caption="Average Tenure_Attrited"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_ID]" caption="Sum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Active_Flag]" caption="Sum of Active_Flag" measure="1" displayFolder="" measureGroup="Table1"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3"/>
        </ext>
      </extLst>
    </cacheHierarchy>
    <cacheHierarchy uniqueName="[Measures].[Sum of Attrition_Flag]" caption="Sum of Attrition_Flag" measure="1" displayFolder="" measureGroup="Table1"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Employee_ID]" caption="Count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Performance_Rating]" caption="Sum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Average of Performance_Rating]" caption="Average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Sum of Attendance_%]" caption="Sum of Attendance_%" measure="1" displayFolder="" measureGroup="Table1" count="0" hidden="1">
      <extLst>
        <ext xmlns:x15="http://schemas.microsoft.com/office/spreadsheetml/2010/11/main" uri="{B97F6D7D-B522-45F9-BDA1-12C45D357490}">
          <x15:cacheHierarchy aggregatedColumn="12"/>
        </ext>
      </extLst>
    </cacheHierarchy>
    <cacheHierarchy uniqueName="[Measures].[Average of Attendance_%]" caption="Average of Attendance_%" measure="1" displayFolder="" measureGroup="Table1" count="0" hidden="1">
      <extLst>
        <ext xmlns:x15="http://schemas.microsoft.com/office/spreadsheetml/2010/11/main" uri="{B97F6D7D-B522-45F9-BDA1-12C45D357490}">
          <x15:cacheHierarchy aggregatedColumn="12"/>
        </ext>
      </extLst>
    </cacheHierarchy>
    <cacheHierarchy uniqueName="[Measures].[Sum of Training_Hours]" caption="Sum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Average of Training_Hours]" caption="Average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17"/>
        </ext>
      </extLst>
    </cacheHierarchy>
    <cacheHierarchy uniqueName="[Measures].[Average of Tenure]" caption="Average of Tenure"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2.889227083331" backgroundQuery="1" createdVersion="3" refreshedVersion="8" minRefreshableVersion="3" recordCount="0" supportSubquery="1" supportAdvancedDrill="1" xr:uid="{4184AC64-125C-4440-BDEC-EDDB3B3ADA93}">
  <cacheSource type="external" connectionId="1">
    <extLst>
      <ext xmlns:x14="http://schemas.microsoft.com/office/spreadsheetml/2009/9/main" uri="{F057638F-6D5F-4e77-A914-E7F072B9BCA8}">
        <x14:sourceConnection name="ThisWorkbookDataModel"/>
      </ext>
    </extLst>
  </cacheSource>
  <cacheFields count="0"/>
  <cacheHierarchies count="39">
    <cacheHierarchy uniqueName="[Table1].[Employee_ID]" caption="Employee_ID" attribute="1" defaultMemberUniqueName="[Table1].[Employee_ID].[All]" allUniqueName="[Table1].[Employee_ID].[All]" dimensionUniqueName="[Table1]" displayFolder="" count="0" memberValueDatatype="2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Job_Role]" caption="Job_Role" attribute="1" defaultMemberUniqueName="[Table1].[Job_Role].[All]" allUniqueName="[Table1].[Job_Role].[All]" dimensionUniqueName="[Table1]" displayFolder="" count="0" memberValueDatatype="130" unbalanced="0"/>
    <cacheHierarchy uniqueName="[Table1].[Salary]" caption="Salary" attribute="1" defaultMemberUniqueName="[Table1].[Salary].[All]" allUniqueName="[Table1].[Salary].[All]" dimensionUniqueName="[Table1]" displayFolder="" count="0" memberValueDatatype="20" unbalanced="0"/>
    <cacheHierarchy uniqueName="[Table1].[Hire_Date]" caption="Hire_Date" attribute="1" defaultMemberUniqueName="[Table1].[Hire_Date].[All]" allUniqueName="[Table1].[Hire_Date].[All]" dimensionUniqueName="[Table1]" displayFolder="" count="0" memberValueDatatype="130" unbalanced="0"/>
    <cacheHierarchy uniqueName="[Table1].[Exit_Date]" caption="Exit_Date" attribute="1" defaultMemberUniqueName="[Table1].[Exit_Date].[All]" allUniqueName="[Table1].[Exit_Date].[All]" dimensionUniqueName="[Table1]" displayFolder="" count="0" memberValueDatatype="130" unbalanced="0"/>
    <cacheHierarchy uniqueName="[Table1].[Employment_Status]" caption="Employment_Status" attribute="1" defaultMemberUniqueName="[Table1].[Employment_Status].[All]" allUniqueName="[Table1].[Employment_Status].[All]" dimensionUniqueName="[Table1]" displayFolder="" count="0" memberValueDatatype="130" unbalanced="0"/>
    <cacheHierarchy uniqueName="[Table1].[Performance_Rating]" caption="Performance_Rating" attribute="1" defaultMemberUniqueName="[Table1].[Performance_Rating].[All]" allUniqueName="[Table1].[Performance_Rating].[All]" dimensionUniqueName="[Table1]" displayFolder="" count="0" memberValueDatatype="20" unbalanced="0"/>
    <cacheHierarchy uniqueName="[Table1].[Training_Hours]" caption="Training_Hours" attribute="1" defaultMemberUniqueName="[Table1].[Training_Hours].[All]" allUniqueName="[Table1].[Training_Hours].[All]" dimensionUniqueName="[Table1]" displayFolder="" count="0" memberValueDatatype="20" unbalanced="0"/>
    <cacheHierarchy uniqueName="[Table1].[Attendance_%]" caption="Attendance_%" attribute="1" defaultMemberUniqueName="[Table1].[Attendance_%].[All]" allUniqueName="[Table1].[Attendance_%].[All]" dimensionUniqueName="[Table1]" displayFolder="" count="0" memberValueDatatype="20" unbalanced="0"/>
    <cacheHierarchy uniqueName="[Table1].[Attrition_Flag]" caption="Attrition_Flag" attribute="1" defaultMemberUniqueName="[Table1].[Attrition_Flag].[All]" allUniqueName="[Table1].[Attrition_Flag].[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Active_Flag]" caption="Active_Flag" attribute="1" defaultMemberUniqueName="[Table1].[Active_Flag].[All]" allUniqueName="[Table1].[Active_Flag].[All]" dimensionUniqueName="[Table1]" displayFolder="" count="0" memberValueDatatype="20" unbalanced="0"/>
    <cacheHierarchy uniqueName="[Table1].[employee count]" caption="employee count" attribute="1" defaultMemberUniqueName="[Table1].[employee count].[All]" allUniqueName="[Table1].[employee count].[All]" dimensionUniqueName="[Table1]" displayFolder="" count="0" memberValueDatatype="20" unbalanced="0"/>
    <cacheHierarchy uniqueName="[Table1].[Tenure]" caption="Tenure" attribute="1" defaultMemberUniqueName="[Table1].[Tenure].[All]" allUniqueName="[Table1].[Tenure].[All]" dimensionUniqueName="[Table1]" displayFolder="" count="0" memberValueDatatype="5" unbalanced="0"/>
    <cacheHierarchy uniqueName="[Table1].[tenure_group]" caption="tenure_group" attribute="1" defaultMemberUniqueName="[Table1].[tenure_group].[All]" allUniqueName="[Table1].[tenure_group].[All]" dimensionUniqueName="[Table1]" displayFolder="" count="0" memberValueDatatype="130" unbalanced="0"/>
    <cacheHierarchy uniqueName="[Table1].[Salary band]" caption="Salary band" attribute="1" defaultMemberUniqueName="[Table1].[Salary band].[All]" allUniqueName="[Table1].[Salary band].[All]" dimensionUniqueName="[Table1]" displayFolder="" count="0" memberValueDatatype="130" unbalanced="0"/>
    <cacheHierarchy uniqueName="[Measures].[Attrition Rate]" caption="Attrition Rate" measure="1" displayFolder="" measureGroup="Table1" count="0"/>
    <cacheHierarchy uniqueName="[Measures].[Attrited employees]" caption="Attrited employees" measure="1" displayFolder="" measureGroup="Table1" count="0"/>
    <cacheHierarchy uniqueName="[Measures].[Average Tenure_Attrited]" caption="Average Tenure_Attrited"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_ID]" caption="Sum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Active_Flag]" caption="Sum of Active_Flag" measure="1" displayFolder="" measureGroup="Table1"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3"/>
        </ext>
      </extLst>
    </cacheHierarchy>
    <cacheHierarchy uniqueName="[Measures].[Sum of Attrition_Flag]" caption="Sum of Attrition_Flag" measure="1" displayFolder="" measureGroup="Table1" count="0" hidden="1">
      <extLst>
        <ext xmlns:x15="http://schemas.microsoft.com/office/spreadsheetml/2010/11/main" uri="{B97F6D7D-B522-45F9-BDA1-12C45D357490}">
          <x15:cacheHierarchy aggregatedColumn="13"/>
        </ext>
      </extLst>
    </cacheHierarchy>
    <cacheHierarchy uniqueName="[Measures].[Count of Employee_ID]" caption="Count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Performance_Rating]" caption="Sum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Average of Performance_Rating]" caption="Average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Sum of Attendance_%]" caption="Sum of Attendance_%" measure="1" displayFolder="" measureGroup="Table1" count="0" hidden="1">
      <extLst>
        <ext xmlns:x15="http://schemas.microsoft.com/office/spreadsheetml/2010/11/main" uri="{B97F6D7D-B522-45F9-BDA1-12C45D357490}">
          <x15:cacheHierarchy aggregatedColumn="12"/>
        </ext>
      </extLst>
    </cacheHierarchy>
    <cacheHierarchy uniqueName="[Measures].[Average of Attendance_%]" caption="Average of Attendance_%" measure="1" displayFolder="" measureGroup="Table1" count="0" hidden="1">
      <extLst>
        <ext xmlns:x15="http://schemas.microsoft.com/office/spreadsheetml/2010/11/main" uri="{B97F6D7D-B522-45F9-BDA1-12C45D357490}">
          <x15:cacheHierarchy aggregatedColumn="12"/>
        </ext>
      </extLst>
    </cacheHierarchy>
    <cacheHierarchy uniqueName="[Measures].[Sum of Training_Hours]" caption="Sum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Average of Training_Hours]" caption="Average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17"/>
        </ext>
      </extLst>
    </cacheHierarchy>
    <cacheHierarchy uniqueName="[Measures].[Average of Tenure]" caption="Average of Tenure"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licerData="1" pivotCacheId="756723958"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ope Adeleye" refreshedDate="46153.988699074071" backgroundQuery="1" createdVersion="3" refreshedVersion="8" minRefreshableVersion="3" recordCount="0" supportSubquery="1" supportAdvancedDrill="1" xr:uid="{D8AF1DBF-2FAC-4107-A88A-9A675986F380}">
  <cacheSource type="external" connectionId="1">
    <extLst>
      <ext xmlns:x14="http://schemas.microsoft.com/office/spreadsheetml/2009/9/main" uri="{F057638F-6D5F-4e77-A914-E7F072B9BCA8}">
        <x14:sourceConnection name="ThisWorkbookDataModel"/>
      </ext>
    </extLst>
  </cacheSource>
  <cacheFields count="0"/>
  <cacheHierarchies count="39">
    <cacheHierarchy uniqueName="[Table1].[Employee_ID]" caption="Employee_ID" attribute="1" defaultMemberUniqueName="[Table1].[Employee_ID].[All]" allUniqueName="[Table1].[Employee_ID].[All]" dimensionUniqueName="[Table1]" displayFolder="" count="0" memberValueDatatype="2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Job_Role]" caption="Job_Role" attribute="1" defaultMemberUniqueName="[Table1].[Job_Role].[All]" allUniqueName="[Table1].[Job_Role].[All]" dimensionUniqueName="[Table1]" displayFolder="" count="0" memberValueDatatype="130" unbalanced="0"/>
    <cacheHierarchy uniqueName="[Table1].[Salary]" caption="Salary" attribute="1" defaultMemberUniqueName="[Table1].[Salary].[All]" allUniqueName="[Table1].[Salary].[All]" dimensionUniqueName="[Table1]" displayFolder="" count="0" memberValueDatatype="20" unbalanced="0"/>
    <cacheHierarchy uniqueName="[Table1].[Hire_Date]" caption="Hire_Date" attribute="1" defaultMemberUniqueName="[Table1].[Hire_Date].[All]" allUniqueName="[Table1].[Hire_Date].[All]" dimensionUniqueName="[Table1]" displayFolder="" count="0" memberValueDatatype="130" unbalanced="0"/>
    <cacheHierarchy uniqueName="[Table1].[Exit_Date]" caption="Exit_Date" attribute="1" defaultMemberUniqueName="[Table1].[Exit_Date].[All]" allUniqueName="[Table1].[Exit_Date].[All]" dimensionUniqueName="[Table1]" displayFolder="" count="0" memberValueDatatype="130" unbalanced="0"/>
    <cacheHierarchy uniqueName="[Table1].[Employment_Status]" caption="Employment_Status" attribute="1" defaultMemberUniqueName="[Table1].[Employment_Status].[All]" allUniqueName="[Table1].[Employment_Status].[All]" dimensionUniqueName="[Table1]" displayFolder="" count="0" memberValueDatatype="130" unbalanced="0"/>
    <cacheHierarchy uniqueName="[Table1].[Performance_Rating]" caption="Performance_Rating" attribute="1" defaultMemberUniqueName="[Table1].[Performance_Rating].[All]" allUniqueName="[Table1].[Performance_Rating].[All]" dimensionUniqueName="[Table1]" displayFolder="" count="0" memberValueDatatype="20" unbalanced="0"/>
    <cacheHierarchy uniqueName="[Table1].[Training_Hours]" caption="Training_Hours" attribute="1" defaultMemberUniqueName="[Table1].[Training_Hours].[All]" allUniqueName="[Table1].[Training_Hours].[All]" dimensionUniqueName="[Table1]" displayFolder="" count="0" memberValueDatatype="20" unbalanced="0"/>
    <cacheHierarchy uniqueName="[Table1].[Attendance_%]" caption="Attendance_%" attribute="1" defaultMemberUniqueName="[Table1].[Attendance_%].[All]" allUniqueName="[Table1].[Attendance_%].[All]" dimensionUniqueName="[Table1]" displayFolder="" count="0" memberValueDatatype="20" unbalanced="0"/>
    <cacheHierarchy uniqueName="[Table1].[Attrition_Flag]" caption="Attrition_Flag" attribute="1" defaultMemberUniqueName="[Table1].[Attrition_Flag].[All]" allUniqueName="[Table1].[Attrition_Flag].[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Active_Flag]" caption="Active_Flag" attribute="1" defaultMemberUniqueName="[Table1].[Active_Flag].[All]" allUniqueName="[Table1].[Active_Flag].[All]" dimensionUniqueName="[Table1]" displayFolder="" count="0" memberValueDatatype="20" unbalanced="0"/>
    <cacheHierarchy uniqueName="[Table1].[employee count]" caption="employee count" attribute="1" defaultMemberUniqueName="[Table1].[employee count].[All]" allUniqueName="[Table1].[employee count].[All]" dimensionUniqueName="[Table1]" displayFolder="" count="0" memberValueDatatype="20" unbalanced="0"/>
    <cacheHierarchy uniqueName="[Table1].[Tenure]" caption="Tenure" attribute="1" defaultMemberUniqueName="[Table1].[Tenure].[All]" allUniqueName="[Table1].[Tenure].[All]" dimensionUniqueName="[Table1]" displayFolder="" count="0" memberValueDatatype="5" unbalanced="0"/>
    <cacheHierarchy uniqueName="[Table1].[tenure_group]" caption="tenure_group" attribute="1" defaultMemberUniqueName="[Table1].[tenure_group].[All]" allUniqueName="[Table1].[tenure_group].[All]" dimensionUniqueName="[Table1]" displayFolder="" count="0" memberValueDatatype="130" unbalanced="0"/>
    <cacheHierarchy uniqueName="[Table1].[Salary band]" caption="Salary band" attribute="1" defaultMemberUniqueName="[Table1].[Salary band].[All]" allUniqueName="[Table1].[Salary band].[All]" dimensionUniqueName="[Table1]" displayFolder="" count="0" memberValueDatatype="130" unbalanced="0"/>
    <cacheHierarchy uniqueName="[Measures].[Attrition Rate]" caption="Attrition Rate" measure="1" displayFolder="" measureGroup="Table1" count="0"/>
    <cacheHierarchy uniqueName="[Measures].[Attrited employees]" caption="Attrited employees" measure="1" displayFolder="" measureGroup="Table1" count="0"/>
    <cacheHierarchy uniqueName="[Measures].[Average Tenure_Attrited]" caption="Average Tenure_Attrited"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_ID]" caption="Sum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Active_Flag]" caption="Sum of Active_Flag" measure="1" displayFolder="" measureGroup="Table1"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3"/>
        </ext>
      </extLst>
    </cacheHierarchy>
    <cacheHierarchy uniqueName="[Measures].[Sum of Attrition_Flag]" caption="Sum of Attrition_Flag" measure="1" displayFolder="" measureGroup="Table1" count="0" hidden="1">
      <extLst>
        <ext xmlns:x15="http://schemas.microsoft.com/office/spreadsheetml/2010/11/main" uri="{B97F6D7D-B522-45F9-BDA1-12C45D357490}">
          <x15:cacheHierarchy aggregatedColumn="13"/>
        </ext>
      </extLst>
    </cacheHierarchy>
    <cacheHierarchy uniqueName="[Measures].[Count of Employee_ID]" caption="Count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Performance_Rating]" caption="Sum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Average of Performance_Rating]" caption="Average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Sum of Attendance_%]" caption="Sum of Attendance_%" measure="1" displayFolder="" measureGroup="Table1" count="0" hidden="1">
      <extLst>
        <ext xmlns:x15="http://schemas.microsoft.com/office/spreadsheetml/2010/11/main" uri="{B97F6D7D-B522-45F9-BDA1-12C45D357490}">
          <x15:cacheHierarchy aggregatedColumn="12"/>
        </ext>
      </extLst>
    </cacheHierarchy>
    <cacheHierarchy uniqueName="[Measures].[Average of Attendance_%]" caption="Average of Attendance_%" measure="1" displayFolder="" measureGroup="Table1" count="0" hidden="1">
      <extLst>
        <ext xmlns:x15="http://schemas.microsoft.com/office/spreadsheetml/2010/11/main" uri="{B97F6D7D-B522-45F9-BDA1-12C45D357490}">
          <x15:cacheHierarchy aggregatedColumn="12"/>
        </ext>
      </extLst>
    </cacheHierarchy>
    <cacheHierarchy uniqueName="[Measures].[Sum of Training_Hours]" caption="Sum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Average of Training_Hours]" caption="Average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17"/>
        </ext>
      </extLst>
    </cacheHierarchy>
    <cacheHierarchy uniqueName="[Measures].[Average of Tenure]" caption="Average of Tenure"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licerData="1" pivotCacheId="818282852"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ope Adeleye" refreshedDate="46154.001754282406" backgroundQuery="1" createdVersion="3" refreshedVersion="8" minRefreshableVersion="3" recordCount="0" supportSubquery="1" supportAdvancedDrill="1" xr:uid="{DAAEB8F6-8444-4A6D-8D6A-80A2F4067BEE}">
  <cacheSource type="external" connectionId="1">
    <extLst>
      <ext xmlns:x14="http://schemas.microsoft.com/office/spreadsheetml/2009/9/main" uri="{F057638F-6D5F-4e77-A914-E7F072B9BCA8}">
        <x14:sourceConnection name="ThisWorkbookDataModel"/>
      </ext>
    </extLst>
  </cacheSource>
  <cacheFields count="0"/>
  <cacheHierarchies count="39">
    <cacheHierarchy uniqueName="[Table1].[Employee_ID]" caption="Employee_ID" attribute="1" defaultMemberUniqueName="[Table1].[Employee_ID].[All]" allUniqueName="[Table1].[Employee_ID].[All]" dimensionUniqueName="[Table1]" displayFolder="" count="0" memberValueDatatype="2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Job_Role]" caption="Job_Role" attribute="1" defaultMemberUniqueName="[Table1].[Job_Role].[All]" allUniqueName="[Table1].[Job_Role].[All]" dimensionUniqueName="[Table1]" displayFolder="" count="0" memberValueDatatype="130" unbalanced="0"/>
    <cacheHierarchy uniqueName="[Table1].[Salary]" caption="Salary" attribute="1" defaultMemberUniqueName="[Table1].[Salary].[All]" allUniqueName="[Table1].[Salary].[All]" dimensionUniqueName="[Table1]" displayFolder="" count="0" memberValueDatatype="20" unbalanced="0"/>
    <cacheHierarchy uniqueName="[Table1].[Hire_Date]" caption="Hire_Date" attribute="1" defaultMemberUniqueName="[Table1].[Hire_Date].[All]" allUniqueName="[Table1].[Hire_Date].[All]" dimensionUniqueName="[Table1]" displayFolder="" count="0" memberValueDatatype="130" unbalanced="0"/>
    <cacheHierarchy uniqueName="[Table1].[Exit_Date]" caption="Exit_Date" attribute="1" defaultMemberUniqueName="[Table1].[Exit_Date].[All]" allUniqueName="[Table1].[Exit_Date].[All]" dimensionUniqueName="[Table1]" displayFolder="" count="0" memberValueDatatype="130" unbalanced="0"/>
    <cacheHierarchy uniqueName="[Table1].[Employment_Status]" caption="Employment_Status" attribute="1" defaultMemberUniqueName="[Table1].[Employment_Status].[All]" allUniqueName="[Table1].[Employment_Status].[All]" dimensionUniqueName="[Table1]" displayFolder="" count="0" memberValueDatatype="130" unbalanced="0"/>
    <cacheHierarchy uniqueName="[Table1].[Performance_Rating]" caption="Performance_Rating" attribute="1" defaultMemberUniqueName="[Table1].[Performance_Rating].[All]" allUniqueName="[Table1].[Performance_Rating].[All]" dimensionUniqueName="[Table1]" displayFolder="" count="0" memberValueDatatype="20" unbalanced="0"/>
    <cacheHierarchy uniqueName="[Table1].[Training_Hours]" caption="Training_Hours" attribute="1" defaultMemberUniqueName="[Table1].[Training_Hours].[All]" allUniqueName="[Table1].[Training_Hours].[All]" dimensionUniqueName="[Table1]" displayFolder="" count="0" memberValueDatatype="20" unbalanced="0"/>
    <cacheHierarchy uniqueName="[Table1].[Attendance_%]" caption="Attendance_%" attribute="1" defaultMemberUniqueName="[Table1].[Attendance_%].[All]" allUniqueName="[Table1].[Attendance_%].[All]" dimensionUniqueName="[Table1]" displayFolder="" count="0" memberValueDatatype="20" unbalanced="0"/>
    <cacheHierarchy uniqueName="[Table1].[Attrition_Flag]" caption="Attrition_Flag" attribute="1" defaultMemberUniqueName="[Table1].[Attrition_Flag].[All]" allUniqueName="[Table1].[Attrition_Flag].[All]" dimensionUniqueName="[Table1]" displayFolder="" count="0" memberValueDatatype="20" unbalanced="0"/>
    <cacheHierarchy uniqueName="[Table1].[Age_group]" caption="Age_group" attribute="1" defaultMemberUniqueName="[Table1].[Age_group].[All]" allUniqueName="[Table1].[Age_group].[All]" dimensionUniqueName="[Table1]" displayFolder="" count="2" memberValueDatatype="130" unbalanced="0"/>
    <cacheHierarchy uniqueName="[Table1].[Active_Flag]" caption="Active_Flag" attribute="1" defaultMemberUniqueName="[Table1].[Active_Flag].[All]" allUniqueName="[Table1].[Active_Flag].[All]" dimensionUniqueName="[Table1]" displayFolder="" count="0" memberValueDatatype="20" unbalanced="0"/>
    <cacheHierarchy uniqueName="[Table1].[employee count]" caption="employee count" attribute="1" defaultMemberUniqueName="[Table1].[employee count].[All]" allUniqueName="[Table1].[employee count].[All]" dimensionUniqueName="[Table1]" displayFolder="" count="0" memberValueDatatype="20" unbalanced="0"/>
    <cacheHierarchy uniqueName="[Table1].[Tenure]" caption="Tenure" attribute="1" defaultMemberUniqueName="[Table1].[Tenure].[All]" allUniqueName="[Table1].[Tenure].[All]" dimensionUniqueName="[Table1]" displayFolder="" count="0" memberValueDatatype="5" unbalanced="0"/>
    <cacheHierarchy uniqueName="[Table1].[tenure_group]" caption="tenure_group" attribute="1" defaultMemberUniqueName="[Table1].[tenure_group].[All]" allUniqueName="[Table1].[tenure_group].[All]" dimensionUniqueName="[Table1]" displayFolder="" count="0" memberValueDatatype="130" unbalanced="0"/>
    <cacheHierarchy uniqueName="[Table1].[Salary band]" caption="Salary band" attribute="1" defaultMemberUniqueName="[Table1].[Salary band].[All]" allUniqueName="[Table1].[Salary band].[All]" dimensionUniqueName="[Table1]" displayFolder="" count="0" memberValueDatatype="130" unbalanced="0"/>
    <cacheHierarchy uniqueName="[Measures].[Attrition Rate]" caption="Attrition Rate" measure="1" displayFolder="" measureGroup="Table1" count="0"/>
    <cacheHierarchy uniqueName="[Measures].[Attrited employees]" caption="Attrited employees" measure="1" displayFolder="" measureGroup="Table1" count="0"/>
    <cacheHierarchy uniqueName="[Measures].[Average Tenure_Attrited]" caption="Average Tenure_Attrited"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_ID]" caption="Sum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Active_Flag]" caption="Sum of Active_Flag" measure="1" displayFolder="" measureGroup="Table1"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3"/>
        </ext>
      </extLst>
    </cacheHierarchy>
    <cacheHierarchy uniqueName="[Measures].[Sum of Attrition_Flag]" caption="Sum of Attrition_Flag" measure="1" displayFolder="" measureGroup="Table1" count="0" hidden="1">
      <extLst>
        <ext xmlns:x15="http://schemas.microsoft.com/office/spreadsheetml/2010/11/main" uri="{B97F6D7D-B522-45F9-BDA1-12C45D357490}">
          <x15:cacheHierarchy aggregatedColumn="13"/>
        </ext>
      </extLst>
    </cacheHierarchy>
    <cacheHierarchy uniqueName="[Measures].[Count of Employee_ID]" caption="Count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Performance_Rating]" caption="Sum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Average of Performance_Rating]" caption="Average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Sum of Attendance_%]" caption="Sum of Attendance_%" measure="1" displayFolder="" measureGroup="Table1" count="0" hidden="1">
      <extLst>
        <ext xmlns:x15="http://schemas.microsoft.com/office/spreadsheetml/2010/11/main" uri="{B97F6D7D-B522-45F9-BDA1-12C45D357490}">
          <x15:cacheHierarchy aggregatedColumn="12"/>
        </ext>
      </extLst>
    </cacheHierarchy>
    <cacheHierarchy uniqueName="[Measures].[Average of Attendance_%]" caption="Average of Attendance_%" measure="1" displayFolder="" measureGroup="Table1" count="0" hidden="1">
      <extLst>
        <ext xmlns:x15="http://schemas.microsoft.com/office/spreadsheetml/2010/11/main" uri="{B97F6D7D-B522-45F9-BDA1-12C45D357490}">
          <x15:cacheHierarchy aggregatedColumn="12"/>
        </ext>
      </extLst>
    </cacheHierarchy>
    <cacheHierarchy uniqueName="[Measures].[Sum of Training_Hours]" caption="Sum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Average of Training_Hours]" caption="Average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17"/>
        </ext>
      </extLst>
    </cacheHierarchy>
    <cacheHierarchy uniqueName="[Measures].[Average of Tenure]" caption="Average of Tenure" measure="1" displayFolder="" measureGroup="Table1"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519642430"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ope Adeleye" refreshedDate="46154.01314166667" backgroundQuery="1" createdVersion="3" refreshedVersion="8" minRefreshableVersion="3" recordCount="0" supportSubquery="1" supportAdvancedDrill="1" xr:uid="{1DB01722-E31F-437C-A85B-BA5524338828}">
  <cacheSource type="external" connectionId="1">
    <extLst>
      <ext xmlns:x14="http://schemas.microsoft.com/office/spreadsheetml/2009/9/main" uri="{F057638F-6D5F-4e77-A914-E7F072B9BCA8}">
        <x14:sourceConnection name="ThisWorkbookDataModel"/>
      </ext>
    </extLst>
  </cacheSource>
  <cacheFields count="0"/>
  <cacheHierarchies count="39">
    <cacheHierarchy uniqueName="[Table1].[Employee_ID]" caption="Employee_ID" attribute="1" defaultMemberUniqueName="[Table1].[Employee_ID].[All]" allUniqueName="[Table1].[Employee_ID].[All]" dimensionUniqueName="[Table1]" displayFolder="" count="0" memberValueDatatype="2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Job_Role]" caption="Job_Role" attribute="1" defaultMemberUniqueName="[Table1].[Job_Role].[All]" allUniqueName="[Table1].[Job_Role].[All]" dimensionUniqueName="[Table1]" displayFolder="" count="2" memberValueDatatype="130" unbalanced="0"/>
    <cacheHierarchy uniqueName="[Table1].[Salary]" caption="Salary" attribute="1" defaultMemberUniqueName="[Table1].[Salary].[All]" allUniqueName="[Table1].[Salary].[All]" dimensionUniqueName="[Table1]" displayFolder="" count="0" memberValueDatatype="20" unbalanced="0"/>
    <cacheHierarchy uniqueName="[Table1].[Hire_Date]" caption="Hire_Date" attribute="1" defaultMemberUniqueName="[Table1].[Hire_Date].[All]" allUniqueName="[Table1].[Hire_Date].[All]" dimensionUniqueName="[Table1]" displayFolder="" count="0" memberValueDatatype="130" unbalanced="0"/>
    <cacheHierarchy uniqueName="[Table1].[Exit_Date]" caption="Exit_Date" attribute="1" defaultMemberUniqueName="[Table1].[Exit_Date].[All]" allUniqueName="[Table1].[Exit_Date].[All]" dimensionUniqueName="[Table1]" displayFolder="" count="0" memberValueDatatype="130" unbalanced="0"/>
    <cacheHierarchy uniqueName="[Table1].[Employment_Status]" caption="Employment_Status" attribute="1" defaultMemberUniqueName="[Table1].[Employment_Status].[All]" allUniqueName="[Table1].[Employment_Status].[All]" dimensionUniqueName="[Table1]" displayFolder="" count="0" memberValueDatatype="130" unbalanced="0"/>
    <cacheHierarchy uniqueName="[Table1].[Performance_Rating]" caption="Performance_Rating" attribute="1" defaultMemberUniqueName="[Table1].[Performance_Rating].[All]" allUniqueName="[Table1].[Performance_Rating].[All]" dimensionUniqueName="[Table1]" displayFolder="" count="0" memberValueDatatype="20" unbalanced="0"/>
    <cacheHierarchy uniqueName="[Table1].[Training_Hours]" caption="Training_Hours" attribute="1" defaultMemberUniqueName="[Table1].[Training_Hours].[All]" allUniqueName="[Table1].[Training_Hours].[All]" dimensionUniqueName="[Table1]" displayFolder="" count="0" memberValueDatatype="20" unbalanced="0"/>
    <cacheHierarchy uniqueName="[Table1].[Attendance_%]" caption="Attendance_%" attribute="1" defaultMemberUniqueName="[Table1].[Attendance_%].[All]" allUniqueName="[Table1].[Attendance_%].[All]" dimensionUniqueName="[Table1]" displayFolder="" count="0" memberValueDatatype="20" unbalanced="0"/>
    <cacheHierarchy uniqueName="[Table1].[Attrition_Flag]" caption="Attrition_Flag" attribute="1" defaultMemberUniqueName="[Table1].[Attrition_Flag].[All]" allUniqueName="[Table1].[Attrition_Flag].[All]" dimensionUniqueName="[Table1]" displayFolder="" count="0" memberValueDatatype="20" unbalanced="0"/>
    <cacheHierarchy uniqueName="[Table1].[Age_group]" caption="Age_group" attribute="1" defaultMemberUniqueName="[Table1].[Age_group].[All]" allUniqueName="[Table1].[Age_group].[All]" dimensionUniqueName="[Table1]" displayFolder="" count="2" memberValueDatatype="130" unbalanced="0"/>
    <cacheHierarchy uniqueName="[Table1].[Active_Flag]" caption="Active_Flag" attribute="1" defaultMemberUniqueName="[Table1].[Active_Flag].[All]" allUniqueName="[Table1].[Active_Flag].[All]" dimensionUniqueName="[Table1]" displayFolder="" count="0" memberValueDatatype="20" unbalanced="0"/>
    <cacheHierarchy uniqueName="[Table1].[employee count]" caption="employee count" attribute="1" defaultMemberUniqueName="[Table1].[employee count].[All]" allUniqueName="[Table1].[employee count].[All]" dimensionUniqueName="[Table1]" displayFolder="" count="0" memberValueDatatype="20" unbalanced="0"/>
    <cacheHierarchy uniqueName="[Table1].[Tenure]" caption="Tenure" attribute="1" defaultMemberUniqueName="[Table1].[Tenure].[All]" allUniqueName="[Table1].[Tenure].[All]" dimensionUniqueName="[Table1]" displayFolder="" count="0" memberValueDatatype="5" unbalanced="0"/>
    <cacheHierarchy uniqueName="[Table1].[tenure_group]" caption="tenure_group" attribute="1" defaultMemberUniqueName="[Table1].[tenure_group].[All]" allUniqueName="[Table1].[tenure_group].[All]" dimensionUniqueName="[Table1]" displayFolder="" count="0" memberValueDatatype="130" unbalanced="0"/>
    <cacheHierarchy uniqueName="[Table1].[Salary band]" caption="Salary band" attribute="1" defaultMemberUniqueName="[Table1].[Salary band].[All]" allUniqueName="[Table1].[Salary band].[All]" dimensionUniqueName="[Table1]" displayFolder="" count="0" memberValueDatatype="130" unbalanced="0"/>
    <cacheHierarchy uniqueName="[Measures].[Attrition Rate]" caption="Attrition Rate" measure="1" displayFolder="" measureGroup="Table1" count="0"/>
    <cacheHierarchy uniqueName="[Measures].[Attrited employees]" caption="Attrited employees" measure="1" displayFolder="" measureGroup="Table1" count="0"/>
    <cacheHierarchy uniqueName="[Measures].[Average Tenure_Attrited]" caption="Average Tenure_Attrited"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_ID]" caption="Sum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Active_Flag]" caption="Sum of Active_Flag" measure="1" displayFolder="" measureGroup="Table1"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3"/>
        </ext>
      </extLst>
    </cacheHierarchy>
    <cacheHierarchy uniqueName="[Measures].[Sum of Attrition_Flag]" caption="Sum of Attrition_Flag" measure="1" displayFolder="" measureGroup="Table1" count="0" hidden="1">
      <extLst>
        <ext xmlns:x15="http://schemas.microsoft.com/office/spreadsheetml/2010/11/main" uri="{B97F6D7D-B522-45F9-BDA1-12C45D357490}">
          <x15:cacheHierarchy aggregatedColumn="13"/>
        </ext>
      </extLst>
    </cacheHierarchy>
    <cacheHierarchy uniqueName="[Measures].[Count of Employee_ID]" caption="Count of Employee_ID" measure="1" displayFolder="" measureGroup="Table1" count="0" hidden="1">
      <extLst>
        <ext xmlns:x15="http://schemas.microsoft.com/office/spreadsheetml/2010/11/main" uri="{B97F6D7D-B522-45F9-BDA1-12C45D357490}">
          <x15:cacheHierarchy aggregatedColumn="0"/>
        </ext>
      </extLst>
    </cacheHierarchy>
    <cacheHierarchy uniqueName="[Measures].[Sum of Performance_Rating]" caption="Sum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Average of Performance_Rating]" caption="Average of Performance_Rating" measure="1" displayFolder="" measureGroup="Table1" count="0" hidden="1">
      <extLst>
        <ext xmlns:x15="http://schemas.microsoft.com/office/spreadsheetml/2010/11/main" uri="{B97F6D7D-B522-45F9-BDA1-12C45D357490}">
          <x15:cacheHierarchy aggregatedColumn="10"/>
        </ext>
      </extLst>
    </cacheHierarchy>
    <cacheHierarchy uniqueName="[Measures].[Sum of Attendance_%]" caption="Sum of Attendance_%" measure="1" displayFolder="" measureGroup="Table1" count="0" hidden="1">
      <extLst>
        <ext xmlns:x15="http://schemas.microsoft.com/office/spreadsheetml/2010/11/main" uri="{B97F6D7D-B522-45F9-BDA1-12C45D357490}">
          <x15:cacheHierarchy aggregatedColumn="12"/>
        </ext>
      </extLst>
    </cacheHierarchy>
    <cacheHierarchy uniqueName="[Measures].[Average of Attendance_%]" caption="Average of Attendance_%" measure="1" displayFolder="" measureGroup="Table1" count="0" hidden="1">
      <extLst>
        <ext xmlns:x15="http://schemas.microsoft.com/office/spreadsheetml/2010/11/main" uri="{B97F6D7D-B522-45F9-BDA1-12C45D357490}">
          <x15:cacheHierarchy aggregatedColumn="12"/>
        </ext>
      </extLst>
    </cacheHierarchy>
    <cacheHierarchy uniqueName="[Measures].[Sum of Training_Hours]" caption="Sum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Average of Training_Hours]" caption="Average of Training_Hours" measure="1" displayFolder="" measureGroup="Table1" count="0" hidden="1">
      <extLst>
        <ext xmlns:x15="http://schemas.microsoft.com/office/spreadsheetml/2010/11/main" uri="{B97F6D7D-B522-45F9-BDA1-12C45D357490}">
          <x15:cacheHierarchy aggregatedColumn="11"/>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17"/>
        </ext>
      </extLst>
    </cacheHierarchy>
    <cacheHierarchy uniqueName="[Measures].[Average of Tenure]" caption="Average of Tenure" measure="1" displayFolder="" measureGroup="Table1"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4983623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7B999E-B982-40FE-8AA0-E65F93DC96E9}"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1">
    <pivotField dataField="1" subtotalTop="0" showAll="0" defaultSubtotal="0"/>
  </pivotFields>
  <rowItems count="1">
    <i/>
  </rowItems>
  <colItems count="1">
    <i/>
  </colItems>
  <dataFields count="1">
    <dataField name="Sum of Active_Flag" fld="0"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Dataset_nnew.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8034D9-18AA-45EE-A6ED-16AB42640A1C}" name="PivotTable13" cacheId="14" applyNumberFormats="0" applyBorderFormats="0" applyFontFormats="0" applyPatternFormats="0" applyAlignmentFormats="0" applyWidthHeightFormats="1" dataCaption="Values" tag="27c7dbd0-d09d-471f-b6ac-f603c249ae1d" updatedVersion="8" minRefreshableVersion="3" useAutoFormatting="1" itemPrintTitles="1" createdVersion="8" indent="0" outline="1" outlineData="1" multipleFieldFilters="0">
  <location ref="I6:I7"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1">
    <format dxfId="0">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Dataset_nnew.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D24CB0-DE11-4786-A1D0-6A367AB5A007}" name="PivotTable15" cacheId="8" applyNumberFormats="0" applyBorderFormats="0" applyFontFormats="0" applyPatternFormats="0" applyAlignmentFormats="0" applyWidthHeightFormats="1" dataCaption="Values" tag="dec7a9b8-55c4-4039-8503-df0f107f2777" updatedVersion="8" minRefreshableVersion="3" useAutoFormatting="1" itemPrintTitles="1" createdVersion="8" indent="0" outline="1" outlineData="1" multipleFieldFilters="0" chartFormat="8">
  <location ref="D18:E24" firstHeaderRow="1" firstDataRow="1" firstDataCol="1"/>
  <pivotFields count="2">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v="3"/>
    </i>
    <i>
      <x v="4"/>
    </i>
    <i>
      <x/>
    </i>
    <i>
      <x v="1"/>
    </i>
    <i>
      <x v="2"/>
    </i>
    <i t="grand">
      <x/>
    </i>
  </rowItems>
  <colItems count="1">
    <i/>
  </colItems>
  <dataFields count="1">
    <dataField name="Sum of Attrition_Flag" fld="0" baseField="0" baseItem="0"/>
  </dataFields>
  <formats count="3">
    <format dxfId="3">
      <pivotArea outline="0" collapsedLevelsAreSubtotals="1" fieldPosition="0"/>
    </format>
    <format dxfId="2">
      <pivotArea grandRow="1" outline="0" collapsedLevelsAreSubtotals="1" fieldPosition="0"/>
    </format>
    <format dxfId="1">
      <pivotArea collapsedLevelsAreSubtotals="1" fieldPosition="0">
        <references count="1">
          <reference field="1"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Dataset_nnew.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B77DCC-19CD-4C01-9787-78AA957CFC79}"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E3" firstHeaderRow="1" firstDataRow="1" firstDataCol="0"/>
  <pivotFields count="1">
    <pivotField dataField="1" subtotalTop="0" showAll="0" defaultSubtotal="0"/>
  </pivotFields>
  <rowItems count="1">
    <i/>
  </rowItems>
  <colItems count="1">
    <i/>
  </colItems>
  <dataFields count="1">
    <dataField name="Average of Age" fld="0" subtotal="average" baseField="0" baseItem="0" numFmtId="1"/>
  </dataFields>
  <formats count="1">
    <format dxfId="4">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Dataset_nnew.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8ACEC7-940B-4BEC-A97F-B5F9833445A3}" name="PivotTable4" cacheId="12" applyNumberFormats="0" applyBorderFormats="0" applyFontFormats="0" applyPatternFormats="0" applyAlignmentFormats="0" applyWidthHeightFormats="1" dataCaption="Values" tag="1493a106-5dfb-4d3b-810e-c8c4ccc88794" updatedVersion="8" minRefreshableVersion="3" useAutoFormatting="1" itemPrintTitles="1" createdVersion="8" indent="0" outline="1" outlineData="1" multipleFieldFilters="0">
  <location ref="G2:G3" firstHeaderRow="1" firstDataRow="1" firstDataCol="0"/>
  <pivotFields count="1">
    <pivotField dataField="1" subtotalTop="0" showAll="0" defaultSubtotal="0"/>
  </pivotFields>
  <rowItems count="1">
    <i/>
  </rowItems>
  <colItems count="1">
    <i/>
  </colItems>
  <dataFields count="1">
    <dataField name="Sum of Attrition_Flag" fld="0" baseField="0" baseItem="0"/>
  </dataFields>
  <formats count="1">
    <format dxfId="5">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Dataset_nnew.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1E6DAA-6D31-41BE-A887-6A4BBA2A338D}"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
    <pivotField dataField="1" subtotalTop="0" showAll="0" defaultSubtotal="0"/>
  </pivotFields>
  <rowItems count="1">
    <i/>
  </rowItems>
  <colItems count="1">
    <i/>
  </colItems>
  <dataFields count="1">
    <dataField name="Count of Employee_ID" fld="0" subtotal="count"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Dataset_nnew.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6594C7A-95DD-4BF0-A624-58213AAF3EB7}" name="PivotTable10" cacheId="6" applyNumberFormats="0" applyBorderFormats="0" applyFontFormats="0" applyPatternFormats="0" applyAlignmentFormats="0" applyWidthHeightFormats="1" dataCaption="Values" tag="839be21e-b4e3-410e-a6b4-6dee276e8550" updatedVersion="8" minRefreshableVersion="3" useAutoFormatting="1" itemPrintTitles="1" createdVersion="8" indent="0" outline="1" outlineData="1" multipleFieldFilters="0" chartFormat="6">
  <location ref="A19:B22" firstHeaderRow="1" firstDataRow="1" firstDataCol="1"/>
  <pivotFields count="3">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Items count="1">
    <i/>
  </colItems>
  <dataFields count="1">
    <dataField name="Count of Employee_ID" fld="1" subtotal="count" baseField="0" baseItem="0"/>
  </dataFields>
  <formats count="3">
    <format dxfId="8">
      <pivotArea outline="0" collapsedLevelsAreSubtotals="1" fieldPosition="0"/>
    </format>
    <format dxfId="7">
      <pivotArea grandRow="1" outline="0" collapsedLevelsAreSubtotals="1" fieldPosition="0"/>
    </format>
    <format dxfId="6">
      <pivotArea collapsedLevelsAreSubtotals="1" fieldPosition="0">
        <references count="1">
          <reference field="2" count="0"/>
        </references>
      </pivotArea>
    </format>
  </format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2" count="1" selected="0">
            <x v="0"/>
          </reference>
        </references>
      </pivotArea>
    </chartFormat>
    <chartFormat chart="5" format="6">
      <pivotArea type="data" outline="0" fieldPosition="0">
        <references count="2">
          <reference field="4294967294" count="1" selected="0">
            <x v="0"/>
          </reference>
          <reference field="2" count="1" selected="0">
            <x v="1"/>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Dataset_nnew.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0CE497-DEAB-4A77-BA58-5D0BEC785CB2}" name="PivotTable6" cacheId="3" applyNumberFormats="0" applyBorderFormats="0" applyFontFormats="0" applyPatternFormats="0" applyAlignmentFormats="0" applyWidthHeightFormats="1" dataCaption="Values" tag="d0a38ddb-3bf1-4ab2-8a91-921cc8c0d503" updatedVersion="8" minRefreshableVersion="3" useAutoFormatting="1" itemPrintTitles="1" createdVersion="8" indent="0" outline="1" outlineData="1" multipleFieldFilters="0">
  <location ref="C6:C7" firstHeaderRow="1" firstDataRow="1" firstDataCol="0"/>
  <pivotFields count="1">
    <pivotField dataField="1" subtotalTop="0" showAll="0" defaultSubtotal="0"/>
  </pivotFields>
  <rowItems count="1">
    <i/>
  </rowItems>
  <colItems count="1">
    <i/>
  </colItems>
  <dataFields count="1">
    <dataField name="Average of Performance_Rating" fld="0" subtotal="average" baseField="0" baseItem="0"/>
  </dataFields>
  <formats count="1">
    <format dxfId="9">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Dataset_nnew.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27208D-FB03-4C71-B049-3FDA33908379}" name="PivotTable19" cacheId="17" applyNumberFormats="0" applyBorderFormats="0" applyFontFormats="0" applyPatternFormats="0" applyAlignmentFormats="0" applyWidthHeightFormats="1" dataCaption="Values" tag="7ef8e435-ac3e-4286-83fb-f683ec0da5ca" updatedVersion="8" minRefreshableVersion="3" useAutoFormatting="1" subtotalHiddenItems="1" itemPrintTitles="1" createdVersion="8" indent="0" outline="1" outlineData="1" multipleFieldFilters="0" chartFormat="4">
  <location ref="G35:I41" firstHeaderRow="0"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2">
    <i>
      <x/>
    </i>
    <i i="1">
      <x v="1"/>
    </i>
  </colItems>
  <dataFields count="2">
    <dataField name="Average of Attendance_%" fld="2" subtotal="average" baseField="0" baseItem="0"/>
    <dataField name="Average of Performance_Rating" fld="0" subtotal="average" baseField="0" baseItem="0"/>
  </dataFields>
  <formats count="3">
    <format dxfId="12">
      <pivotArea grandRow="1" outline="0" collapsedLevelsAreSubtotals="1" fieldPosition="0"/>
    </format>
    <format dxfId="11">
      <pivotArea outline="0" collapsedLevelsAreSubtotals="1" fieldPosition="0"/>
    </format>
    <format dxfId="10">
      <pivotArea collapsedLevelsAreSubtotals="1" fieldPosition="0">
        <references count="1">
          <reference field="1" count="0"/>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Dataset_nnew.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C855A93-7500-4B8E-AB6D-E409A9EC5B5C}" name="PivotTable5" cacheId="10" applyNumberFormats="0" applyBorderFormats="0" applyFontFormats="0" applyPatternFormats="0" applyAlignmentFormats="0" applyWidthHeightFormats="1" dataCaption="Values" tag="7f1e648f-ceed-4cb8-97ba-6cf673fe2b4d" updatedVersion="8" minRefreshableVersion="3" useAutoFormatting="1" itemPrintTitles="1" createdVersion="8" indent="0" outline="1" outlineData="1" multipleFieldFilters="0">
  <location ref="A6:A7" firstHeaderRow="1" firstDataRow="1" firstDataCol="0"/>
  <pivotFields count="1">
    <pivotField dataField="1" subtotalTop="0" showAll="0" defaultSubtotal="0"/>
  </pivotFields>
  <rowItems count="1">
    <i/>
  </rowItems>
  <colItems count="1">
    <i/>
  </colItems>
  <dataFields count="1">
    <dataField fld="0" subtotal="count" baseField="0" baseItem="0" numFmtId="9"/>
  </dataFields>
  <formats count="1">
    <format dxfId="13">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Dataset_nnew.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C0E813D-A4FB-4B8B-A4DF-AC57285FD1F0}" name="PivotTable17" cacheId="15" applyNumberFormats="0" applyBorderFormats="0" applyFontFormats="0" applyPatternFormats="0" applyAlignmentFormats="0" applyWidthHeightFormats="1" dataCaption="Values" tag="db146d5b-b4a4-4496-9376-3ffc0f861f18" updatedVersion="8" minRefreshableVersion="3" useAutoFormatting="1" itemPrintTitles="1" createdVersion="8" indent="0" outline="1" outlineData="1" multipleFieldFilters="0">
  <location ref="G10:H16"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Average of Performance_Rating" fld="1" subtotal="average" baseField="0" baseItem="0" numFmtId="2"/>
  </dataFields>
  <formats count="4">
    <format dxfId="17">
      <pivotArea grandRow="1" outline="0" collapsedLevelsAreSubtotals="1" fieldPosition="0"/>
    </format>
    <format dxfId="16">
      <pivotArea collapsedLevelsAreSubtotals="1" fieldPosition="0">
        <references count="1">
          <reference field="0" count="0"/>
        </references>
      </pivotArea>
    </format>
    <format dxfId="15">
      <pivotArea collapsedLevelsAreSubtotals="1" fieldPosition="0">
        <references count="1">
          <reference field="0" count="1">
            <x v="0"/>
          </reference>
        </references>
      </pivotArea>
    </format>
    <format dxfId="14">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Dataset_nnew.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124E306-29E1-49C9-8E63-D07A50CDD859}" name="PivotTable18" cacheId="11" applyNumberFormats="0" applyBorderFormats="0" applyFontFormats="0" applyPatternFormats="0" applyAlignmentFormats="0" applyWidthHeightFormats="1" dataCaption="Values" tag="07372d74-0080-4c9e-be21-6b850f6c36a9" updatedVersion="8" minRefreshableVersion="3" useAutoFormatting="1" itemPrintTitles="1" createdVersion="8" indent="0" outline="1" outlineData="1" multipleFieldFilters="0">
  <location ref="G19:I25"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2"/>
  </colFields>
  <colItems count="2">
    <i>
      <x/>
    </i>
    <i i="1">
      <x v="1"/>
    </i>
  </colItems>
  <dataFields count="2">
    <dataField name="Average of Training_Hours" fld="1" subtotal="average" baseField="0" baseItem="0"/>
    <dataField name="Average of Performance_Rating" fld="0" subtotal="average" baseField="0" baseItem="0"/>
  </dataFields>
  <formats count="3">
    <format dxfId="20">
      <pivotArea grandRow="1" outline="0" collapsedLevelsAreSubtotals="1" fieldPosition="0"/>
    </format>
    <format dxfId="19">
      <pivotArea outline="0" collapsedLevelsAreSubtotals="1" fieldPosition="0"/>
    </format>
    <format dxfId="18">
      <pivotArea collapsedLevelsAreSubtotals="1" fieldPosition="0">
        <references count="1">
          <reference field="2" count="0"/>
        </references>
      </pivotArea>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Dataset_nnew.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FC37A4D-A733-4425-BA90-A8D7DC792BC8}" name="PivotTable8" cacheId="13" applyNumberFormats="0" applyBorderFormats="0" applyFontFormats="0" applyPatternFormats="0" applyAlignmentFormats="0" applyWidthHeightFormats="1" dataCaption="Values" tag="63b80b16-3cca-4c7c-895b-7f44715655c3" updatedVersion="8" minRefreshableVersion="3" useAutoFormatting="1" itemPrintTitles="1" createdVersion="8" indent="0" outline="1" outlineData="1" multipleFieldFilters="0">
  <location ref="G6:G7" firstHeaderRow="1" firstDataRow="1" firstDataCol="0"/>
  <pivotFields count="1">
    <pivotField dataField="1" subtotalTop="0" showAll="0" defaultSubtotal="0"/>
  </pivotFields>
  <rowItems count="1">
    <i/>
  </rowItems>
  <colItems count="1">
    <i/>
  </colItems>
  <dataFields count="1">
    <dataField name="Average of Training_Hours" fld="0" subtotal="average" baseField="0" baseItem="0" numFmtId="1"/>
  </dataFields>
  <formats count="1">
    <format dxfId="21">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Dataset_nnew.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F749CB0-DD7C-4E65-815F-C3998D961CE2}" name="PivotTable7" cacheId="1" applyNumberFormats="0" applyBorderFormats="0" applyFontFormats="0" applyPatternFormats="0" applyAlignmentFormats="0" applyWidthHeightFormats="1" dataCaption="Values" tag="a4175b97-b0ac-44bf-8f6f-12d2f2f0ce14" updatedVersion="8" minRefreshableVersion="3" useAutoFormatting="1" itemPrintTitles="1" createdVersion="8" indent="0" outline="1" outlineData="1" multipleFieldFilters="0">
  <location ref="E6:E7" firstHeaderRow="1" firstDataRow="1" firstDataCol="0"/>
  <pivotFields count="1">
    <pivotField dataField="1" subtotalTop="0" showAll="0" defaultSubtotal="0"/>
  </pivotFields>
  <rowItems count="1">
    <i/>
  </rowItems>
  <colItems count="1">
    <i/>
  </colItems>
  <dataFields count="1">
    <dataField name="Average of Attendance_%" fld="0" subtotal="average" baseField="0" baseItem="0"/>
  </dataFields>
  <formats count="1">
    <format dxfId="22">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Dataset_nnew.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F69B418-7F3C-4496-BB41-8F43E91C8B87}" name="PivotTable14" cacheId="18" applyNumberFormats="0" applyBorderFormats="0" applyFontFormats="0" applyPatternFormats="0" applyAlignmentFormats="0" applyWidthHeightFormats="1" dataCaption="Values" tag="23262eb2-a2af-48d3-ba46-d7ca0427429f" updatedVersion="8" minRefreshableVersion="3" useAutoFormatting="1" itemPrintTitles="1" createdVersion="8" indent="0" outline="1" outlineData="1" multipleFieldFilters="0" chartFormat="8">
  <location ref="D10:E1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Attrition_Flag" fld="1" baseField="0" baseItem="0"/>
  </dataFields>
  <formats count="3">
    <format dxfId="25">
      <pivotArea outline="0" collapsedLevelsAreSubtotals="1" fieldPosition="0"/>
    </format>
    <format dxfId="24">
      <pivotArea grandRow="1" outline="0" collapsedLevelsAreSubtotals="1" fieldPosition="0"/>
    </format>
    <format dxfId="23">
      <pivotArea collapsedLevelsAreSubtotals="1" fieldPosition="0">
        <references count="1">
          <reference field="0"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Dataset_nnew.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2BFFA01-EA23-48BA-B762-DAFEDC1911F5}" name="PivotTable12" cacheId="2" applyNumberFormats="0" applyBorderFormats="0" applyFontFormats="0" applyPatternFormats="0" applyAlignmentFormats="0" applyWidthHeightFormats="1" dataCaption="Values" tag="a20b0673-6844-472f-8ab3-331b8aaa0aea" updatedVersion="8" minRefreshableVersion="3" useAutoFormatting="1" itemPrintTitles="1" createdVersion="8" indent="0" outline="1" outlineData="1" multipleFieldFilters="0">
  <location ref="I2:I3" firstHeaderRow="1" firstDataRow="1" firstDataCol="0"/>
  <pivotFields count="1">
    <pivotField dataField="1" subtotalTop="0" showAll="0" defaultSubtotal="0"/>
  </pivotFields>
  <rowItems count="1">
    <i/>
  </rowItems>
  <colItems count="1">
    <i/>
  </colItems>
  <dataFields count="1">
    <dataField name="Average of Tenure" fld="0" subtotal="average" baseField="0" baseItem="0"/>
  </dataFields>
  <formats count="1">
    <format dxfId="26">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Dataset_nnew.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627C758-8CC2-42C9-9A82-F60BADF7E2D6}" name="PivotTable11" cacheId="4" applyNumberFormats="0" applyBorderFormats="0" applyFontFormats="0" applyPatternFormats="0" applyAlignmentFormats="0" applyWidthHeightFormats="1" dataCaption="Values" tag="8bb85e56-97b4-4832-96e2-bba4784ce7c9" updatedVersion="8" minRefreshableVersion="3" useAutoFormatting="1" itemPrintTitles="1" createdVersion="8" indent="0" outline="1" outlineData="1" multipleFieldFilters="0" chartFormat="4">
  <location ref="A25:B29" firstHeaderRow="1" firstDataRow="1" firstDataCol="1"/>
  <pivotFields count="3">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Items count="1">
    <i/>
  </colItems>
  <dataFields count="1">
    <dataField name="Count of Employee_ID" fld="1" subtotal="count" baseField="0" baseItem="0"/>
  </dataFields>
  <formats count="3">
    <format dxfId="29">
      <pivotArea outline="0" collapsedLevelsAreSubtotals="1" fieldPosition="0"/>
    </format>
    <format dxfId="28">
      <pivotArea grandRow="1" outline="0" collapsedLevelsAreSubtotals="1" fieldPosition="0"/>
    </format>
    <format dxfId="27">
      <pivotArea collapsedLevelsAreSubtotals="1" fieldPosition="0">
        <references count="1">
          <reference field="2"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Dataset_nnew.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27112A6-957F-46CF-8284-E2AFD332073D}" name="PivotTable9" cacheId="9" applyNumberFormats="0" applyBorderFormats="0" applyFontFormats="0" applyPatternFormats="0" applyAlignmentFormats="0" applyWidthHeightFormats="1" dataCaption="Values" tag="109f330d-4cb7-462f-b3d1-8998ede51c6c" updatedVersion="8" minRefreshableVersion="3" useAutoFormatting="1" itemPrintTitles="1" createdVersion="8" indent="0" outline="1" outlineData="1" multipleFieldFilters="0" chartFormat="6">
  <location ref="A10:B16"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4"/>
    </i>
    <i>
      <x v="3"/>
    </i>
    <i>
      <x/>
    </i>
    <i>
      <x v="1"/>
    </i>
    <i>
      <x v="2"/>
    </i>
    <i t="grand">
      <x/>
    </i>
  </rowItems>
  <colItems count="1">
    <i/>
  </colItems>
  <dataFields count="1">
    <dataField name="Count of Employee_ID" fld="1" subtotal="count" baseField="0" baseItem="0"/>
  </dataFields>
  <formats count="7">
    <format dxfId="36">
      <pivotArea outline="0" collapsedLevelsAreSubtotals="1" fieldPosition="0"/>
    </format>
    <format dxfId="35">
      <pivotArea collapsedLevelsAreSubtotals="1" fieldPosition="0">
        <references count="1">
          <reference field="0" count="1">
            <x v="0"/>
          </reference>
        </references>
      </pivotArea>
    </format>
    <format dxfId="34">
      <pivotArea collapsedLevelsAreSubtotals="1" fieldPosition="0">
        <references count="1">
          <reference field="0" count="1">
            <x v="1"/>
          </reference>
        </references>
      </pivotArea>
    </format>
    <format dxfId="33">
      <pivotArea collapsedLevelsAreSubtotals="1" fieldPosition="0">
        <references count="1">
          <reference field="0" count="1">
            <x v="2"/>
          </reference>
        </references>
      </pivotArea>
    </format>
    <format dxfId="32">
      <pivotArea collapsedLevelsAreSubtotals="1" fieldPosition="0">
        <references count="1">
          <reference field="0" count="1">
            <x v="3"/>
          </reference>
        </references>
      </pivotArea>
    </format>
    <format dxfId="31">
      <pivotArea collapsedLevelsAreSubtotals="1" fieldPosition="0">
        <references count="1">
          <reference field="0" count="1">
            <x v="4"/>
          </reference>
        </references>
      </pivotArea>
    </format>
    <format dxfId="30">
      <pivotArea grandRow="1" outline="0" collapsedLevelsAreSubtotals="1" fieldPosition="0"/>
    </format>
  </formats>
  <chartFormats count="1">
    <chartFormat chart="5" format="3"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Dataset_nnew.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55750DA-5B9C-4188-BB0D-D5F586E669E5}" name="PivotTable16" cacheId="19" applyNumberFormats="0" applyBorderFormats="0" applyFontFormats="0" applyPatternFormats="0" applyAlignmentFormats="0" applyWidthHeightFormats="1" dataCaption="Values" tag="30c11283-e6c1-4ca4-930a-173254022f76" updatedVersion="8" minRefreshableVersion="3" useAutoFormatting="1" itemPrintTitles="1" createdVersion="8" indent="0" outline="1" outlineData="1" multipleFieldFilters="0" chartFormat="12">
  <location ref="D27:E31" firstHeaderRow="1" firstDataRow="1" firstDataCol="1"/>
  <pivotFields count="3">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v="1"/>
    </i>
    <i>
      <x v="2"/>
    </i>
    <i>
      <x/>
    </i>
    <i t="grand">
      <x/>
    </i>
  </rowItems>
  <colItems count="1">
    <i/>
  </colItems>
  <dataFields count="1">
    <dataField name="Sum of Attrition_Flag" fld="0" baseField="0" baseItem="0"/>
  </dataFields>
  <formats count="3">
    <format dxfId="39">
      <pivotArea outline="0" collapsedLevelsAreSubtotals="1" fieldPosition="0"/>
    </format>
    <format dxfId="38">
      <pivotArea grandRow="1" outline="0" collapsedLevelsAreSubtotals="1" fieldPosition="0"/>
    </format>
    <format dxfId="37">
      <pivotArea collapsedLevelsAreSubtotals="1" fieldPosition="0">
        <references count="1">
          <reference field="1" count="0"/>
        </references>
      </pivotArea>
    </format>
  </formats>
  <chartFormats count="1">
    <chartFormat chart="5" format="2" series="1">
      <pivotArea type="data" outline="0" fieldPosition="0">
        <references count="1">
          <reference field="4294967294" count="1" selected="0">
            <x v="0"/>
          </reference>
        </references>
      </pivotArea>
    </chartFormat>
  </chartFormat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Dataset_nnew.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020D7E3-93DD-4552-8A56-8B7511C5E971}" sourceName="[Table1].[Department]">
  <pivotTables>
    <pivotTable tabId="3" name="PivotTable11"/>
  </pivotTables>
  <data>
    <olap pivotCacheId="756723958">
      <levels count="2">
        <level uniqueName="[Table1].[Department].[(All)]" sourceCaption="(All)" count="0"/>
        <level uniqueName="[Table1].[Department].[Department]" sourceCaption="Department" count="5">
          <ranges>
            <range startItem="0">
              <i n="[Table1].[Department].&amp;[Finance]" c="Finance"/>
              <i n="[Table1].[Department].&amp;[HR]" c="HR"/>
              <i n="[Table1].[Department].&amp;[Operations]" c="Operations"/>
              <i n="[Table1].[Department].&amp;[Sales]" c="Sales"/>
              <i n="[Table1].[Department].&amp;[Tech]" c="Tech"/>
            </range>
          </ranges>
        </level>
      </levels>
      <selections count="1">
        <selection n="[Table1].[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4F50083-66B6-41B1-9517-F8728E99279A}" sourceName="[Table1].[Gender]">
  <pivotTables>
    <pivotTable tabId="3" name="PivotTable10"/>
  </pivotTables>
  <data>
    <olap pivotCacheId="818282852">
      <levels count="2">
        <level uniqueName="[Table1].[Gender].[(All)]" sourceCaption="(All)" count="0"/>
        <level uniqueName="[Table1].[Gender].[Gender]" sourceCaption="Gender" count="2">
          <ranges>
            <range startItem="0">
              <i n="[Table1].[Gender].&amp;[Female]" c="Female"/>
              <i n="[Table1].[Gender].&amp;[Male]" c="Male"/>
            </range>
          </ranges>
        </level>
      </levels>
      <selections count="1">
        <selection n="[Table1].[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18EF94C3-B478-4583-9087-BD81D1DCB4C3}" sourceName="[Table1].[Job_Role]">
  <pivotTables>
    <pivotTable tabId="3" name="PivotTable10"/>
  </pivotTables>
  <data>
    <olap pivotCacheId="818282852">
      <levels count="2">
        <level uniqueName="[Table1].[Job_Role].[(All)]" sourceCaption="(All)" count="0"/>
        <level uniqueName="[Table1].[Job_Role].[Job_Role]" sourceCaption="Job_Role" count="4">
          <ranges>
            <range startItem="0">
              <i n="[Table1].[Job_Role].&amp;[Analyst]" c="Analyst"/>
              <i n="[Table1].[Job_Role].&amp;[Associate]" c="Associate"/>
              <i n="[Table1].[Job_Role].&amp;[Lead]" c="Lead"/>
              <i n="[Table1].[Job_Role].&amp;[Manager]" c="Manager"/>
            </range>
          </ranges>
        </level>
      </levels>
      <selections count="1">
        <selection n="[Table1].[Job_Rol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CB81B6C8-5A86-4420-B1CC-0E626F8C2ADD}" sourceName="[Table1].[Age_group]">
  <pivotTables>
    <pivotTable tabId="3" name="PivotTable16"/>
  </pivotTables>
  <data>
    <olap pivotCacheId="1519642430">
      <levels count="2">
        <level uniqueName="[Table1].[Age_group].[(All)]" sourceCaption="(All)" count="0"/>
        <level uniqueName="[Table1].[Age_group].[Age_group]" sourceCaption="Age_group" count="3">
          <ranges>
            <range startItem="0">
              <i n="[Table1].[Age_group].&amp;[22-35]" c="22-35"/>
              <i n="[Table1].[Age_group].&amp;[36-45]" c="36-45"/>
              <i n="[Table1].[Age_group].&amp;[46-55]" c="46-55"/>
            </range>
          </ranges>
        </level>
      </levels>
      <selections count="1">
        <selection n="[Table1].[Age_group].[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150CFF26-A9F1-4381-9638-AC9EB1DFF006}" sourceName="[Table1].[Gender]">
  <pivotTables>
    <pivotTable tabId="3" name="PivotTable16"/>
  </pivotTables>
  <data>
    <olap pivotCacheId="1519642430">
      <levels count="2">
        <level uniqueName="[Table1].[Gender].[(All)]" sourceCaption="(All)" count="0"/>
        <level uniqueName="[Table1].[Gender].[Gender]" sourceCaption="Gender" count="2">
          <ranges>
            <range startItem="0">
              <i n="[Table1].[Gender].&amp;[Female]" c="Female"/>
              <i n="[Table1].[Gender].&amp;[Male]" c="Male"/>
            </range>
          </ranges>
        </level>
      </levels>
      <selections count="1">
        <selection n="[Table1].[Gender].[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66150856-D1CF-4CB5-A8AB-C075A561A6E8}" sourceName="[Table1].[Department]">
  <pivotTables>
    <pivotTable tabId="3" name="PivotTable14"/>
  </pivotTables>
  <data>
    <olap pivotCacheId="1519642430">
      <levels count="2">
        <level uniqueName="[Table1].[Department].[(All)]" sourceCaption="(All)" count="0"/>
        <level uniqueName="[Table1].[Department].[Department]" sourceCaption="Department" count="5">
          <ranges>
            <range startItem="0">
              <i n="[Table1].[Department].&amp;[Finance]" c="Finance"/>
              <i n="[Table1].[Department].&amp;[HR]" c="HR"/>
              <i n="[Table1].[Department].&amp;[Operations]" c="Operations"/>
              <i n="[Table1].[Department].&amp;[Sales]" c="Sales"/>
              <i n="[Table1].[Department].&amp;[Tech]" c="Tech"/>
            </range>
          </ranges>
        </level>
      </levels>
      <selections count="1">
        <selection n="[Table1].[Department].[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F6672FB0-8C76-4E9E-947D-FAC2287A0BD9}" sourceName="[Table1].[Age_group]">
  <pivotTables>
    <pivotTable tabId="3" name="PivotTable19"/>
  </pivotTables>
  <data>
    <olap pivotCacheId="498362301">
      <levels count="2">
        <level uniqueName="[Table1].[Age_group].[(All)]" sourceCaption="(All)" count="0"/>
        <level uniqueName="[Table1].[Age_group].[Age_group]" sourceCaption="Age_group" count="3">
          <ranges>
            <range startItem="0">
              <i n="[Table1].[Age_group].&amp;[22-35]" c="22-35"/>
              <i n="[Table1].[Age_group].&amp;[36-45]" c="36-45"/>
              <i n="[Table1].[Age_group].&amp;[46-55]" c="46-55"/>
            </range>
          </ranges>
        </level>
      </levels>
      <selections count="1">
        <selection n="[Table1].[Age_group].[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AB96EA39-A26A-4019-B7F0-1A91ED10F8A3}" sourceName="[Table1].[Gender]">
  <pivotTables>
    <pivotTable tabId="3" name="PivotTable19"/>
  </pivotTables>
  <data>
    <olap pivotCacheId="498362301">
      <levels count="2">
        <level uniqueName="[Table1].[Gender].[(All)]" sourceCaption="(All)" count="0"/>
        <level uniqueName="[Table1].[Gender].[Gender]" sourceCaption="Gender" count="2">
          <ranges>
            <range startItem="0">
              <i n="[Table1].[Gender].&amp;[Female]" c="Female"/>
              <i n="[Table1].[Gender].&amp;[Male]" c="Male"/>
            </range>
          </ranges>
        </level>
      </levels>
      <selections count="1">
        <selection n="[Table1].[Gender].[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1" xr10:uid="{17732CA2-B538-46F5-8E50-CF7E882EDD25}" sourceName="[Table1].[Job_Role]">
  <pivotTables>
    <pivotTable tabId="3" name="PivotTable19"/>
  </pivotTables>
  <data>
    <olap pivotCacheId="498362301">
      <levels count="2">
        <level uniqueName="[Table1].[Job_Role].[(All)]" sourceCaption="(All)" count="0"/>
        <level uniqueName="[Table1].[Job_Role].[Job_Role]" sourceCaption="Job_Role" count="4">
          <ranges>
            <range startItem="0">
              <i n="[Table1].[Job_Role].&amp;[Analyst]" c="Analyst"/>
              <i n="[Table1].[Job_Role].&amp;[Associate]" c="Associate"/>
              <i n="[Table1].[Job_Role].&amp;[Lead]" c="Lead"/>
              <i n="[Table1].[Job_Role].&amp;[Manager]" c="Manager"/>
            </range>
          </ranges>
        </level>
      </levels>
      <selections count="1">
        <selection n="[Table1].[Job_Rol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9F0CF2A-E852-4591-8DD7-0C53EEEB05FB}" cache="Slicer_Department" caption="Department" level="1" rowHeight="792000"/>
  <slicer name="Gender" xr10:uid="{7472673A-E1AE-4672-AB38-ADE442FD82E0}" cache="Slicer_Gender" caption="Gender" level="1" rowHeight="540000"/>
  <slicer name="Job_Role" xr10:uid="{8D125458-DB24-4E27-A2BD-3D6F77A4FC8A}" cache="Slicer_Job_Role" caption="Job_Role" level="1" rowHeight="54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37BD9EB2-B0DC-47EB-9714-3213B9ECDE9D}" cache="Slicer_Age_group" caption="Age_group" level="1" rowHeight="1188000"/>
  <slicer name="Gender 1" xr10:uid="{A0683020-A78D-4E3A-B37E-7BAAC0C8C84E}" cache="Slicer_Gender1" caption="Gender" level="1" rowHeight="1728000"/>
  <slicer name="Department 1" xr10:uid="{83A4D997-BAA8-4A15-89B5-62BCCAEAB5F4}" cache="Slicer_Department1" caption="Department" level="1" rowHeight="684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1" xr10:uid="{65134D1E-86BC-4EDD-A6CF-FF4D27652142}" cache="Slicer_Age_group1" caption="Age_group" level="1" rowHeight="1188000"/>
  <slicer name="Gender 2" xr10:uid="{7FE9BDBD-A5A4-44DF-9A36-7D969CE58575}" cache="Slicer_Gender2" caption="Gender" level="1" rowHeight="1764000"/>
  <slicer name="Job_Role 1" xr10:uid="{DD0F0749-5D17-4C99-9002-D0311930F87F}" cache="Slicer_Job_Role1" caption="Job_Role" level="1" rowHeight="82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30A62A-B077-42E5-81B1-EF7B2722DE29}" name="Table1" displayName="Table1" ref="A1:T501" totalsRowShown="0">
  <autoFilter ref="A1:T501" xr:uid="{0130A62A-B077-42E5-81B1-EF7B2722DE29}"/>
  <tableColumns count="20">
    <tableColumn id="1" xr3:uid="{8CC7E316-BF07-4936-B1D3-F20585FBB706}" name="Employee_ID"/>
    <tableColumn id="2" xr3:uid="{F8C73A4E-7DA2-4A44-B32B-CA1F97E5580C}" name="Name"/>
    <tableColumn id="3" xr3:uid="{DD1F94ED-B03D-4CAA-9999-A6797E65B627}" name="Gender"/>
    <tableColumn id="4" xr3:uid="{BD531493-4790-478E-94A4-B3599F555DFD}" name="Age"/>
    <tableColumn id="5" xr3:uid="{831E0D82-47F9-45E6-BBC1-E915A290B834}" name="Department"/>
    <tableColumn id="6" xr3:uid="{FD4CF90E-841E-4F6F-AAD4-8C67CBA38E77}" name="Job_Role"/>
    <tableColumn id="7" xr3:uid="{A606BEE5-1562-4EFD-BBE5-79B76AE672B8}" name="Salary"/>
    <tableColumn id="8" xr3:uid="{CBA0C74E-C21A-4343-B847-331A720449EA}" name="Hire_Date"/>
    <tableColumn id="9" xr3:uid="{289AA0B1-4FF7-4814-87D9-814986D21D73}" name="Exit_Date"/>
    <tableColumn id="10" xr3:uid="{3725AE9D-4506-4B42-B9BF-FBD0EB1AA868}" name="Employment_Status"/>
    <tableColumn id="11" xr3:uid="{2BC1A38D-3228-4A05-8EDE-F6C9ED79B6ED}" name="Performance_Rating"/>
    <tableColumn id="12" xr3:uid="{B987C06A-C363-46C3-B378-E24A9E6D7029}" name="Training_Hours"/>
    <tableColumn id="13" xr3:uid="{3D7A75C8-BB4F-4EDE-9F81-8A998911FA57}" name="Attendance_%"/>
    <tableColumn id="14" xr3:uid="{89A3AE25-17D6-4870-BF53-F4650D769049}" name="Attrition_Flag" dataDxfId="46">
      <calculatedColumnFormula>IF(Table1[[#This Row],[Employment_Status]]="Exited",1,0)</calculatedColumnFormula>
    </tableColumn>
    <tableColumn id="15" xr3:uid="{7CCB9ED0-7247-42FB-BDEC-FBDD2F4196E8}" name="Age_group" dataDxfId="45">
      <calculatedColumnFormula array="1">_xlfn.IFS(AND(Table1[[#This Row],[Age]]&gt;=22,Table1[[#This Row],[Age]]&lt;=35),"22-35",AND(Table1[[#This Row],[Age]]&gt;=36,Table1[[#This Row],[Age]]&lt;=45),"36-45",AND(Table1[[#This Row],[Age]]&gt;=46,Table1[[#This Row],[Age]]&lt;=55),"46-55")</calculatedColumnFormula>
    </tableColumn>
    <tableColumn id="16" xr3:uid="{EB757598-8D08-42D7-AD3D-41975BA14280}" name="Active_Flag" dataDxfId="44">
      <calculatedColumnFormula>IF(Table1[[#This Row],[Employment_Status]]="active",1,0)</calculatedColumnFormula>
    </tableColumn>
    <tableColumn id="17" xr3:uid="{7701FE11-5DBB-4C5D-979F-F95DF90A9E3E}" name="employee count" dataDxfId="43"/>
    <tableColumn id="18" xr3:uid="{B533F5BC-CAD6-4596-A226-38A5E46D9271}" name="Tenure" dataDxfId="42">
      <calculatedColumnFormula>YEARFRAC(Table1[[#This Row],[Hire_Date]],IF(Table1[[#This Row],[Employment_Status]]="Exited",Table1[[#This Row],[Exit_Date]],TODAY()))</calculatedColumnFormula>
    </tableColumn>
    <tableColumn id="19" xr3:uid="{BDEF4B8A-8EA7-4B2D-ACA7-55414800B415}" name="tenure_group" dataDxfId="41">
      <calculatedColumnFormula array="1">_xlfn.IFS(AND(Table1[[#This Row],[Tenure]]&gt;=0,Table1[[#This Row],[Tenure]]&lt;=1),"0-1",AND(Table1[[#This Row],[Tenure]]&gt;1,Table1[[#This Row],[Tenure]]&lt;=3),"1-3",AND(Table1[[#This Row],[Tenure]]&gt;3,Table1[[#This Row],[Tenure]]&lt;=5),"3-5",AND(Table1[[#This Row],[Tenure]]&gt;5,Table1[[#This Row],[Tenure]]&lt;=8),"5-8")</calculatedColumnFormula>
    </tableColumn>
    <tableColumn id="20" xr3:uid="{014F1C12-E543-4166-8A70-91E2DAB186DE}" name="Salary band" dataDxfId="40">
      <calculatedColumnFormula array="1">_xlfn.IFS(AND(Table1[[#This Row],[Salary]]&gt;=180000, Table1[[#This Row],[Salary]] &lt;=500000),"Low (180k-500k)", AND(Table1[[#This Row],[Salary]]&gt;500000, Table1[[#This Row],[Salary]]&lt;=800000), "Medium (501k-800k)", AND(Table1[[#This Row],[Salary]]&gt;800000, Table1[[#This Row],[Salary]]&lt;1200000), "High (801k - 1.2m)")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01"/>
  <sheetViews>
    <sheetView topLeftCell="J2" workbookViewId="0">
      <selection activeCell="T4" sqref="T4"/>
    </sheetView>
  </sheetViews>
  <sheetFormatPr baseColWidth="10" defaultColWidth="8.83203125" defaultRowHeight="15" x14ac:dyDescent="0.2"/>
  <cols>
    <col min="1" max="1" width="14.83203125" customWidth="1"/>
    <col min="3" max="3" width="9.83203125" customWidth="1"/>
    <col min="5" max="5" width="13.83203125" customWidth="1"/>
    <col min="6" max="6" width="11.1640625" customWidth="1"/>
    <col min="8" max="8" width="12" customWidth="1"/>
    <col min="9" max="9" width="11.5" customWidth="1"/>
    <col min="10" max="10" width="20.83203125" customWidth="1"/>
    <col min="11" max="11" width="21.5" bestFit="1" customWidth="1"/>
    <col min="12" max="12" width="16.6640625" bestFit="1" customWidth="1"/>
    <col min="13" max="13" width="16.33203125" bestFit="1" customWidth="1"/>
    <col min="14" max="14" width="15.5" bestFit="1" customWidth="1"/>
    <col min="15" max="15" width="12.83203125" bestFit="1" customWidth="1"/>
    <col min="16" max="16" width="13.5" bestFit="1" customWidth="1"/>
    <col min="17" max="17" width="17.83203125" bestFit="1" customWidth="1"/>
    <col min="18" max="18" width="12" bestFit="1" customWidth="1"/>
    <col min="19" max="19" width="15.5" bestFit="1" customWidth="1"/>
    <col min="20" max="20" width="22.33203125" bestFit="1" customWidth="1"/>
  </cols>
  <sheetData>
    <row r="1" spans="1:20" x14ac:dyDescent="0.2">
      <c r="A1" t="s">
        <v>0</v>
      </c>
      <c r="B1" t="s">
        <v>1</v>
      </c>
      <c r="C1" t="s">
        <v>2</v>
      </c>
      <c r="D1" t="s">
        <v>3</v>
      </c>
      <c r="E1" t="s">
        <v>4</v>
      </c>
      <c r="F1" t="s">
        <v>5</v>
      </c>
      <c r="G1" t="s">
        <v>6</v>
      </c>
      <c r="H1" t="s">
        <v>7</v>
      </c>
      <c r="I1" t="s">
        <v>8</v>
      </c>
      <c r="J1" t="s">
        <v>9</v>
      </c>
      <c r="K1" t="s">
        <v>10</v>
      </c>
      <c r="L1" t="s">
        <v>11</v>
      </c>
      <c r="M1" t="s">
        <v>12</v>
      </c>
      <c r="N1" t="s">
        <v>542</v>
      </c>
      <c r="O1" t="s">
        <v>543</v>
      </c>
      <c r="P1" t="s">
        <v>546</v>
      </c>
      <c r="Q1" t="s">
        <v>554</v>
      </c>
      <c r="R1" t="s">
        <v>569</v>
      </c>
      <c r="S1" t="s">
        <v>574</v>
      </c>
      <c r="T1" t="s">
        <v>581</v>
      </c>
    </row>
    <row r="2" spans="1:20" x14ac:dyDescent="0.2">
      <c r="A2">
        <v>1</v>
      </c>
      <c r="B2" t="s">
        <v>13</v>
      </c>
      <c r="C2" t="s">
        <v>14</v>
      </c>
      <c r="D2">
        <v>35</v>
      </c>
      <c r="E2" t="s">
        <v>15</v>
      </c>
      <c r="F2" t="s">
        <v>16</v>
      </c>
      <c r="G2">
        <v>1049691</v>
      </c>
      <c r="H2" t="s">
        <v>17</v>
      </c>
      <c r="J2" t="s">
        <v>18</v>
      </c>
      <c r="K2">
        <v>3</v>
      </c>
      <c r="L2">
        <v>15</v>
      </c>
      <c r="M2">
        <v>96</v>
      </c>
      <c r="N2">
        <f>IF(Table1[[#This Row],[Employment_Status]]="Exited",1,0)</f>
        <v>0</v>
      </c>
      <c r="O2" t="str" cm="1">
        <f t="array" ref="O2">_xlfn.IFS(AND(Table1[[#This Row],[Age]]&gt;=22,Table1[[#This Row],[Age]]&lt;=35),"22-35",AND(Table1[[#This Row],[Age]]&gt;=36,Table1[[#This Row],[Age]]&lt;=45),"36-45",AND(Table1[[#This Row],[Age]]&gt;=46,Table1[[#This Row],[Age]]&lt;=55),"46-55")</f>
        <v>22-35</v>
      </c>
      <c r="P2">
        <f>IF(Table1[[#This Row],[Employment_Status]]="active",1,0)</f>
        <v>1</v>
      </c>
      <c r="Q2">
        <v>1</v>
      </c>
      <c r="R2" s="6">
        <f ca="1">YEARFRAC(Table1[[#This Row],[Hire_Date]],IF(Table1[[#This Row],[Employment_Status]]="Exited",Table1[[#This Row],[Exit_Date]],TODAY()))</f>
        <v>5.0388888888888888</v>
      </c>
      <c r="S2" t="str" cm="1">
        <f t="array" aca="1" ref="S2" ca="1">_xlfn.IFS(AND(Table1[[#This Row],[Tenure]]&gt;=0,Table1[[#This Row],[Tenure]]&lt;=1),"0-1",AND(Table1[[#This Row],[Tenure]]&gt;1,Table1[[#This Row],[Tenure]]&lt;=3),"1-3",AND(Table1[[#This Row],[Tenure]]&gt;3,Table1[[#This Row],[Tenure]]&lt;=5),"3-5",AND(Table1[[#This Row],[Tenure]]&gt;5,Table1[[#This Row],[Tenure]]&lt;=8),"5-8")</f>
        <v>5-8</v>
      </c>
      <c r="T2" t="str" cm="1">
        <f t="array" ref="T2">_xlfn.IFS(AND(Table1[[#This Row],[Salary]]&gt;=180000, Table1[[#This Row],[Salary]] &lt;=500000),"Low (180k-500k)", AND(Table1[[#This Row],[Salary]]&gt;500000, Table1[[#This Row],[Salary]]&lt;=800000), "Medium (501k-800k)", AND(Table1[[#This Row],[Salary]]&gt;800000, Table1[[#This Row],[Salary]]&lt;1200000), "High (801k - 1.2m)")</f>
        <v>High (801k - 1.2m)</v>
      </c>
    </row>
    <row r="3" spans="1:20" x14ac:dyDescent="0.2">
      <c r="A3">
        <v>2</v>
      </c>
      <c r="B3" t="s">
        <v>19</v>
      </c>
      <c r="C3" t="s">
        <v>20</v>
      </c>
      <c r="D3">
        <v>53</v>
      </c>
      <c r="E3" t="s">
        <v>21</v>
      </c>
      <c r="F3" t="s">
        <v>22</v>
      </c>
      <c r="G3">
        <v>627534</v>
      </c>
      <c r="H3" t="s">
        <v>23</v>
      </c>
      <c r="J3" t="s">
        <v>18</v>
      </c>
      <c r="K3">
        <v>2</v>
      </c>
      <c r="L3">
        <v>17</v>
      </c>
      <c r="M3">
        <v>73</v>
      </c>
      <c r="N3">
        <f>IF(Table1[[#This Row],[Employment_Status]]="Exited",1,0)</f>
        <v>0</v>
      </c>
      <c r="O3" t="str" cm="1">
        <f t="array" ref="O3">_xlfn.IFS(AND(Table1[[#This Row],[Age]]&gt;=22,Table1[[#This Row],[Age]]&lt;=35),"22-35",AND(Table1[[#This Row],[Age]]&gt;=36,Table1[[#This Row],[Age]]&lt;=45),"36-45",AND(Table1[[#This Row],[Age]]&gt;=46,Table1[[#This Row],[Age]]&lt;=55),"46-55")</f>
        <v>46-55</v>
      </c>
      <c r="P3">
        <f>IF(Table1[[#This Row],[Employment_Status]]="active",1,0)</f>
        <v>1</v>
      </c>
      <c r="Q3">
        <v>1</v>
      </c>
      <c r="R3" s="6">
        <f ca="1">YEARFRAC(Table1[[#This Row],[Hire_Date]],IF(Table1[[#This Row],[Employment_Status]]="Exited",Table1[[#This Row],[Exit_Date]],TODAY()))</f>
        <v>2.4500000000000002</v>
      </c>
      <c r="S3" t="str" cm="1">
        <f t="array" aca="1" ref="S3" ca="1">_xlfn.IFS(AND(Table1[[#This Row],[Tenure]]&gt;=0,Table1[[#This Row],[Tenure]]&lt;=1),"0-1",AND(Table1[[#This Row],[Tenure]]&gt;1,Table1[[#This Row],[Tenure]]&lt;=3),"1-3",AND(Table1[[#This Row],[Tenure]]&gt;3,Table1[[#This Row],[Tenure]]&lt;=5),"3-5",AND(Table1[[#This Row],[Tenure]]&gt;5,Table1[[#This Row],[Tenure]]&lt;=8),"5-8")</f>
        <v>1-3</v>
      </c>
      <c r="T3" t="str" cm="1">
        <f t="array" ref="T3">_xlfn.IFS(AND(Table1[[#This Row],[Salary]]&gt;=180000, Table1[[#This Row],[Salary]] &lt;=500000),"Low (180k-500k)", AND(Table1[[#This Row],[Salary]]&gt;500000, Table1[[#This Row],[Salary]]&lt;=800000), "Medium (501k-800k)", AND(Table1[[#This Row],[Salary]]&gt;800000, Table1[[#This Row],[Salary]]&lt;1200000), "High (801k - 1.2m)")</f>
        <v>Medium (501k-800k)</v>
      </c>
    </row>
    <row r="4" spans="1:20" x14ac:dyDescent="0.2">
      <c r="A4">
        <v>3</v>
      </c>
      <c r="B4" t="s">
        <v>24</v>
      </c>
      <c r="C4" t="s">
        <v>14</v>
      </c>
      <c r="D4">
        <v>42</v>
      </c>
      <c r="E4" t="s">
        <v>15</v>
      </c>
      <c r="F4" t="s">
        <v>16</v>
      </c>
      <c r="G4">
        <v>866043</v>
      </c>
      <c r="H4" t="s">
        <v>25</v>
      </c>
      <c r="J4" t="s">
        <v>18</v>
      </c>
      <c r="K4">
        <v>3</v>
      </c>
      <c r="L4">
        <v>7</v>
      </c>
      <c r="M4">
        <v>84</v>
      </c>
      <c r="N4">
        <f>IF(Table1[[#This Row],[Employment_Status]]="Exited",1,0)</f>
        <v>0</v>
      </c>
      <c r="O4" t="str" cm="1">
        <f t="array" ref="O4">_xlfn.IFS(AND(Table1[[#This Row],[Age]]&gt;=22,Table1[[#This Row],[Age]]&lt;=35),"22-35",AND(Table1[[#This Row],[Age]]&gt;=36,Table1[[#This Row],[Age]]&lt;=45),"36-45",AND(Table1[[#This Row],[Age]]&gt;=46,Table1[[#This Row],[Age]]&lt;=55),"46-55")</f>
        <v>36-45</v>
      </c>
      <c r="P4">
        <f>IF(Table1[[#This Row],[Employment_Status]]="active",1,0)</f>
        <v>1</v>
      </c>
      <c r="Q4">
        <v>1</v>
      </c>
      <c r="R4" s="6">
        <f ca="1">YEARFRAC(Table1[[#This Row],[Hire_Date]],IF(Table1[[#This Row],[Employment_Status]]="Exited",Table1[[#This Row],[Exit_Date]],TODAY()))</f>
        <v>5.8305555555555557</v>
      </c>
      <c r="S4" t="str" cm="1">
        <f t="array" aca="1" ref="S4" ca="1">_xlfn.IFS(AND(Table1[[#This Row],[Tenure]]&gt;=0,Table1[[#This Row],[Tenure]]&lt;=1),"0-1",AND(Table1[[#This Row],[Tenure]]&gt;1,Table1[[#This Row],[Tenure]]&lt;=3),"1-3",AND(Table1[[#This Row],[Tenure]]&gt;3,Table1[[#This Row],[Tenure]]&lt;=5),"3-5",AND(Table1[[#This Row],[Tenure]]&gt;5,Table1[[#This Row],[Tenure]]&lt;=8),"5-8")</f>
        <v>5-8</v>
      </c>
      <c r="T4" t="str" cm="1">
        <f t="array" ref="T4">_xlfn.IFS(AND(Table1[[#This Row],[Salary]]&gt;=180000, Table1[[#This Row],[Salary]] &lt;=500000),"Low (180k-500k)", AND(Table1[[#This Row],[Salary]]&gt;500000, Table1[[#This Row],[Salary]]&lt;=800000), "Medium (501k-800k)", AND(Table1[[#This Row],[Salary]]&gt;800000, Table1[[#This Row],[Salary]]&lt;1200000), "High (801k - 1.2m)")</f>
        <v>High (801k - 1.2m)</v>
      </c>
    </row>
    <row r="5" spans="1:20" x14ac:dyDescent="0.2">
      <c r="A5">
        <v>4</v>
      </c>
      <c r="B5" t="s">
        <v>26</v>
      </c>
      <c r="C5" t="s">
        <v>20</v>
      </c>
      <c r="D5">
        <v>49</v>
      </c>
      <c r="E5" t="s">
        <v>21</v>
      </c>
      <c r="F5" t="s">
        <v>27</v>
      </c>
      <c r="G5">
        <v>663115</v>
      </c>
      <c r="H5" t="s">
        <v>28</v>
      </c>
      <c r="J5" t="s">
        <v>18</v>
      </c>
      <c r="K5">
        <v>4</v>
      </c>
      <c r="L5">
        <v>47</v>
      </c>
      <c r="M5">
        <v>99</v>
      </c>
      <c r="N5">
        <f>IF(Table1[[#This Row],[Employment_Status]]="Exited",1,0)</f>
        <v>0</v>
      </c>
      <c r="O5" t="str" cm="1">
        <f t="array" ref="O5">_xlfn.IFS(AND(Table1[[#This Row],[Age]]&gt;=22,Table1[[#This Row],[Age]]&lt;=35),"22-35",AND(Table1[[#This Row],[Age]]&gt;=36,Table1[[#This Row],[Age]]&lt;=45),"36-45",AND(Table1[[#This Row],[Age]]&gt;=46,Table1[[#This Row],[Age]]&lt;=55),"46-55")</f>
        <v>46-55</v>
      </c>
      <c r="P5">
        <f>IF(Table1[[#This Row],[Employment_Status]]="active",1,0)</f>
        <v>1</v>
      </c>
      <c r="Q5">
        <v>1</v>
      </c>
      <c r="R5" s="6">
        <f ca="1">YEARFRAC(Table1[[#This Row],[Hire_Date]],IF(Table1[[#This Row],[Employment_Status]]="Exited",Table1[[#This Row],[Exit_Date]],TODAY()))</f>
        <v>5.6861111111111109</v>
      </c>
      <c r="S5" t="str" cm="1">
        <f t="array" aca="1" ref="S5" ca="1">_xlfn.IFS(AND(Table1[[#This Row],[Tenure]]&gt;=0,Table1[[#This Row],[Tenure]]&lt;=1),"0-1",AND(Table1[[#This Row],[Tenure]]&gt;1,Table1[[#This Row],[Tenure]]&lt;=3),"1-3",AND(Table1[[#This Row],[Tenure]]&gt;3,Table1[[#This Row],[Tenure]]&lt;=5),"3-5",AND(Table1[[#This Row],[Tenure]]&gt;5,Table1[[#This Row],[Tenure]]&lt;=8),"5-8")</f>
        <v>5-8</v>
      </c>
      <c r="T5" t="str" cm="1">
        <f t="array" ref="T5">_xlfn.IFS(AND(Table1[[#This Row],[Salary]]&gt;=180000, Table1[[#This Row],[Salary]] &lt;=500000),"Low (180k-500k)", AND(Table1[[#This Row],[Salary]]&gt;500000, Table1[[#This Row],[Salary]]&lt;=800000), "Medium (501k-800k)", AND(Table1[[#This Row],[Salary]]&gt;800000, Table1[[#This Row],[Salary]]&lt;1200000), "High (801k - 1.2m)")</f>
        <v>Medium (501k-800k)</v>
      </c>
    </row>
    <row r="6" spans="1:20" x14ac:dyDescent="0.2">
      <c r="A6">
        <v>5</v>
      </c>
      <c r="B6" t="s">
        <v>29</v>
      </c>
      <c r="C6" t="s">
        <v>20</v>
      </c>
      <c r="D6">
        <v>55</v>
      </c>
      <c r="E6" t="s">
        <v>15</v>
      </c>
      <c r="F6" t="s">
        <v>16</v>
      </c>
      <c r="G6">
        <v>1074341</v>
      </c>
      <c r="H6" t="s">
        <v>30</v>
      </c>
      <c r="J6" t="s">
        <v>18</v>
      </c>
      <c r="K6">
        <v>4</v>
      </c>
      <c r="L6">
        <v>47</v>
      </c>
      <c r="M6">
        <v>66</v>
      </c>
      <c r="N6">
        <f>IF(Table1[[#This Row],[Employment_Status]]="Exited",1,0)</f>
        <v>0</v>
      </c>
      <c r="O6" t="str" cm="1">
        <f t="array" ref="O6">_xlfn.IFS(AND(Table1[[#This Row],[Age]]&gt;=22,Table1[[#This Row],[Age]]&lt;=35),"22-35",AND(Table1[[#This Row],[Age]]&gt;=36,Table1[[#This Row],[Age]]&lt;=45),"36-45",AND(Table1[[#This Row],[Age]]&gt;=46,Table1[[#This Row],[Age]]&lt;=55),"46-55")</f>
        <v>46-55</v>
      </c>
      <c r="P6">
        <f>IF(Table1[[#This Row],[Employment_Status]]="active",1,0)</f>
        <v>1</v>
      </c>
      <c r="Q6">
        <v>1</v>
      </c>
      <c r="R6" s="6">
        <f ca="1">YEARFRAC(Table1[[#This Row],[Hire_Date]],IF(Table1[[#This Row],[Employment_Status]]="Exited",Table1[[#This Row],[Exit_Date]],TODAY()))</f>
        <v>5.1611111111111114</v>
      </c>
      <c r="S6" t="str" cm="1">
        <f t="array" aca="1" ref="S6" ca="1">_xlfn.IFS(AND(Table1[[#This Row],[Tenure]]&gt;=0,Table1[[#This Row],[Tenure]]&lt;=1),"0-1",AND(Table1[[#This Row],[Tenure]]&gt;1,Table1[[#This Row],[Tenure]]&lt;=3),"1-3",AND(Table1[[#This Row],[Tenure]]&gt;3,Table1[[#This Row],[Tenure]]&lt;=5),"3-5",AND(Table1[[#This Row],[Tenure]]&gt;5,Table1[[#This Row],[Tenure]]&lt;=8),"5-8")</f>
        <v>5-8</v>
      </c>
      <c r="T6" t="str" cm="1">
        <f t="array" ref="T6">_xlfn.IFS(AND(Table1[[#This Row],[Salary]]&gt;=180000, Table1[[#This Row],[Salary]] &lt;=500000),"Low (180k-500k)", AND(Table1[[#This Row],[Salary]]&gt;500000, Table1[[#This Row],[Salary]]&lt;=800000), "Medium (501k-800k)", AND(Table1[[#This Row],[Salary]]&gt;800000, Table1[[#This Row],[Salary]]&lt;1200000), "High (801k - 1.2m)")</f>
        <v>High (801k - 1.2m)</v>
      </c>
    </row>
    <row r="7" spans="1:20" x14ac:dyDescent="0.2">
      <c r="A7">
        <v>6</v>
      </c>
      <c r="B7" t="s">
        <v>31</v>
      </c>
      <c r="C7" t="s">
        <v>14</v>
      </c>
      <c r="D7">
        <v>32</v>
      </c>
      <c r="E7" t="s">
        <v>15</v>
      </c>
      <c r="F7" t="s">
        <v>16</v>
      </c>
      <c r="G7">
        <v>488371</v>
      </c>
      <c r="H7" t="s">
        <v>32</v>
      </c>
      <c r="J7" t="s">
        <v>18</v>
      </c>
      <c r="K7">
        <v>4</v>
      </c>
      <c r="L7">
        <v>13</v>
      </c>
      <c r="M7">
        <v>79</v>
      </c>
      <c r="N7">
        <f>IF(Table1[[#This Row],[Employment_Status]]="Exited",1,0)</f>
        <v>0</v>
      </c>
      <c r="O7" t="str" cm="1">
        <f t="array" ref="O7">_xlfn.IFS(AND(Table1[[#This Row],[Age]]&gt;=22,Table1[[#This Row],[Age]]&lt;=35),"22-35",AND(Table1[[#This Row],[Age]]&gt;=36,Table1[[#This Row],[Age]]&lt;=45),"36-45",AND(Table1[[#This Row],[Age]]&gt;=46,Table1[[#This Row],[Age]]&lt;=55),"46-55")</f>
        <v>22-35</v>
      </c>
      <c r="P7">
        <f>IF(Table1[[#This Row],[Employment_Status]]="active",1,0)</f>
        <v>1</v>
      </c>
      <c r="Q7">
        <v>1</v>
      </c>
      <c r="R7" s="6">
        <f ca="1">YEARFRAC(Table1[[#This Row],[Hire_Date]],IF(Table1[[#This Row],[Employment_Status]]="Exited",Table1[[#This Row],[Exit_Date]],TODAY()))</f>
        <v>6.7611111111111111</v>
      </c>
      <c r="S7" t="str" cm="1">
        <f t="array" aca="1" ref="S7" ca="1">_xlfn.IFS(AND(Table1[[#This Row],[Tenure]]&gt;=0,Table1[[#This Row],[Tenure]]&lt;=1),"0-1",AND(Table1[[#This Row],[Tenure]]&gt;1,Table1[[#This Row],[Tenure]]&lt;=3),"1-3",AND(Table1[[#This Row],[Tenure]]&gt;3,Table1[[#This Row],[Tenure]]&lt;=5),"3-5",AND(Table1[[#This Row],[Tenure]]&gt;5,Table1[[#This Row],[Tenure]]&lt;=8),"5-8")</f>
        <v>5-8</v>
      </c>
      <c r="T7" t="str" cm="1">
        <f t="array" ref="T7">_xlfn.IFS(AND(Table1[[#This Row],[Salary]]&gt;=180000, Table1[[#This Row],[Salary]] &lt;=500000),"Low (180k-500k)", AND(Table1[[#This Row],[Salary]]&gt;500000, Table1[[#This Row],[Salary]]&lt;=800000), "Medium (501k-800k)", AND(Table1[[#This Row],[Salary]]&gt;800000, Table1[[#This Row],[Salary]]&lt;1200000), "High (801k - 1.2m)")</f>
        <v>Low (180k-500k)</v>
      </c>
    </row>
    <row r="8" spans="1:20" x14ac:dyDescent="0.2">
      <c r="A8">
        <v>7</v>
      </c>
      <c r="B8" t="s">
        <v>33</v>
      </c>
      <c r="C8" t="s">
        <v>20</v>
      </c>
      <c r="D8">
        <v>50</v>
      </c>
      <c r="E8" t="s">
        <v>21</v>
      </c>
      <c r="F8" t="s">
        <v>34</v>
      </c>
      <c r="G8">
        <v>664506</v>
      </c>
      <c r="H8" t="s">
        <v>35</v>
      </c>
      <c r="J8" t="s">
        <v>18</v>
      </c>
      <c r="K8">
        <v>2</v>
      </c>
      <c r="L8">
        <v>30</v>
      </c>
      <c r="M8">
        <v>99</v>
      </c>
      <c r="N8">
        <f>IF(Table1[[#This Row],[Employment_Status]]="Exited",1,0)</f>
        <v>0</v>
      </c>
      <c r="O8" t="str" cm="1">
        <f t="array" ref="O8">_xlfn.IFS(AND(Table1[[#This Row],[Age]]&gt;=22,Table1[[#This Row],[Age]]&lt;=35),"22-35",AND(Table1[[#This Row],[Age]]&gt;=36,Table1[[#This Row],[Age]]&lt;=45),"36-45",AND(Table1[[#This Row],[Age]]&gt;=46,Table1[[#This Row],[Age]]&lt;=55),"46-55")</f>
        <v>46-55</v>
      </c>
      <c r="P8">
        <f>IF(Table1[[#This Row],[Employment_Status]]="active",1,0)</f>
        <v>1</v>
      </c>
      <c r="Q8">
        <v>1</v>
      </c>
      <c r="R8" s="6">
        <f ca="1">YEARFRAC(Table1[[#This Row],[Hire_Date]],IF(Table1[[#This Row],[Employment_Status]]="Exited",Table1[[#This Row],[Exit_Date]],TODAY()))</f>
        <v>2.1444444444444444</v>
      </c>
      <c r="S8" t="str" cm="1">
        <f t="array" aca="1" ref="S8" ca="1">_xlfn.IFS(AND(Table1[[#This Row],[Tenure]]&gt;=0,Table1[[#This Row],[Tenure]]&lt;=1),"0-1",AND(Table1[[#This Row],[Tenure]]&gt;1,Table1[[#This Row],[Tenure]]&lt;=3),"1-3",AND(Table1[[#This Row],[Tenure]]&gt;3,Table1[[#This Row],[Tenure]]&lt;=5),"3-5",AND(Table1[[#This Row],[Tenure]]&gt;5,Table1[[#This Row],[Tenure]]&lt;=8),"5-8")</f>
        <v>1-3</v>
      </c>
      <c r="T8" t="str" cm="1">
        <f t="array" ref="T8">_xlfn.IFS(AND(Table1[[#This Row],[Salary]]&gt;=180000, Table1[[#This Row],[Salary]] &lt;=500000),"Low (180k-500k)", AND(Table1[[#This Row],[Salary]]&gt;500000, Table1[[#This Row],[Salary]]&lt;=800000), "Medium (501k-800k)", AND(Table1[[#This Row],[Salary]]&gt;800000, Table1[[#This Row],[Salary]]&lt;1200000), "High (801k - 1.2m)")</f>
        <v>Medium (501k-800k)</v>
      </c>
    </row>
    <row r="9" spans="1:20" x14ac:dyDescent="0.2">
      <c r="A9">
        <v>8</v>
      </c>
      <c r="B9" t="s">
        <v>36</v>
      </c>
      <c r="C9" t="s">
        <v>14</v>
      </c>
      <c r="D9">
        <v>25</v>
      </c>
      <c r="E9" t="s">
        <v>21</v>
      </c>
      <c r="F9" t="s">
        <v>27</v>
      </c>
      <c r="G9">
        <v>668750</v>
      </c>
      <c r="H9" t="s">
        <v>37</v>
      </c>
      <c r="J9" t="s">
        <v>18</v>
      </c>
      <c r="K9">
        <v>3</v>
      </c>
      <c r="L9">
        <v>8</v>
      </c>
      <c r="M9">
        <v>92</v>
      </c>
      <c r="N9">
        <f>IF(Table1[[#This Row],[Employment_Status]]="Exited",1,0)</f>
        <v>0</v>
      </c>
      <c r="O9" t="str" cm="1">
        <f t="array" ref="O9">_xlfn.IFS(AND(Table1[[#This Row],[Age]]&gt;=22,Table1[[#This Row],[Age]]&lt;=35),"22-35",AND(Table1[[#This Row],[Age]]&gt;=36,Table1[[#This Row],[Age]]&lt;=45),"36-45",AND(Table1[[#This Row],[Age]]&gt;=46,Table1[[#This Row],[Age]]&lt;=55),"46-55")</f>
        <v>22-35</v>
      </c>
      <c r="P9">
        <f>IF(Table1[[#This Row],[Employment_Status]]="active",1,0)</f>
        <v>1</v>
      </c>
      <c r="Q9">
        <v>1</v>
      </c>
      <c r="R9" s="6">
        <f ca="1">YEARFRAC(Table1[[#This Row],[Hire_Date]],IF(Table1[[#This Row],[Employment_Status]]="Exited",Table1[[#This Row],[Exit_Date]],TODAY()))</f>
        <v>2.8888888888888888</v>
      </c>
      <c r="S9" t="str" cm="1">
        <f t="array" aca="1" ref="S9" ca="1">_xlfn.IFS(AND(Table1[[#This Row],[Tenure]]&gt;=0,Table1[[#This Row],[Tenure]]&lt;=1),"0-1",AND(Table1[[#This Row],[Tenure]]&gt;1,Table1[[#This Row],[Tenure]]&lt;=3),"1-3",AND(Table1[[#This Row],[Tenure]]&gt;3,Table1[[#This Row],[Tenure]]&lt;=5),"3-5",AND(Table1[[#This Row],[Tenure]]&gt;5,Table1[[#This Row],[Tenure]]&lt;=8),"5-8")</f>
        <v>1-3</v>
      </c>
      <c r="T9" t="str" cm="1">
        <f t="array" ref="T9">_xlfn.IFS(AND(Table1[[#This Row],[Salary]]&gt;=180000, Table1[[#This Row],[Salary]] &lt;=500000),"Low (180k-500k)", AND(Table1[[#This Row],[Salary]]&gt;500000, Table1[[#This Row],[Salary]]&lt;=800000), "Medium (501k-800k)", AND(Table1[[#This Row],[Salary]]&gt;800000, Table1[[#This Row],[Salary]]&lt;1200000), "High (801k - 1.2m)")</f>
        <v>Medium (501k-800k)</v>
      </c>
    </row>
    <row r="10" spans="1:20" x14ac:dyDescent="0.2">
      <c r="A10">
        <v>9</v>
      </c>
      <c r="B10" t="s">
        <v>26</v>
      </c>
      <c r="C10" t="s">
        <v>14</v>
      </c>
      <c r="D10">
        <v>39</v>
      </c>
      <c r="E10" t="s">
        <v>15</v>
      </c>
      <c r="F10" t="s">
        <v>34</v>
      </c>
      <c r="G10">
        <v>491619</v>
      </c>
      <c r="H10" t="s">
        <v>38</v>
      </c>
      <c r="J10" t="s">
        <v>18</v>
      </c>
      <c r="K10">
        <v>4</v>
      </c>
      <c r="L10">
        <v>26</v>
      </c>
      <c r="M10">
        <v>96</v>
      </c>
      <c r="N10">
        <f>IF(Table1[[#This Row],[Employment_Status]]="Exited",1,0)</f>
        <v>0</v>
      </c>
      <c r="O10" t="str" cm="1">
        <f t="array" ref="O10">_xlfn.IFS(AND(Table1[[#This Row],[Age]]&gt;=22,Table1[[#This Row],[Age]]&lt;=35),"22-35",AND(Table1[[#This Row],[Age]]&gt;=36,Table1[[#This Row],[Age]]&lt;=45),"36-45",AND(Table1[[#This Row],[Age]]&gt;=46,Table1[[#This Row],[Age]]&lt;=55),"46-55")</f>
        <v>36-45</v>
      </c>
      <c r="P10">
        <f>IF(Table1[[#This Row],[Employment_Status]]="active",1,0)</f>
        <v>1</v>
      </c>
      <c r="Q10">
        <v>1</v>
      </c>
      <c r="R10" s="6">
        <f ca="1">YEARFRAC(Table1[[#This Row],[Hire_Date]],IF(Table1[[#This Row],[Employment_Status]]="Exited",Table1[[#This Row],[Exit_Date]],TODAY()))</f>
        <v>2.6333333333333333</v>
      </c>
      <c r="S10" t="str" cm="1">
        <f t="array" aca="1" ref="S10" ca="1">_xlfn.IFS(AND(Table1[[#This Row],[Tenure]]&gt;=0,Table1[[#This Row],[Tenure]]&lt;=1),"0-1",AND(Table1[[#This Row],[Tenure]]&gt;1,Table1[[#This Row],[Tenure]]&lt;=3),"1-3",AND(Table1[[#This Row],[Tenure]]&gt;3,Table1[[#This Row],[Tenure]]&lt;=5),"3-5",AND(Table1[[#This Row],[Tenure]]&gt;5,Table1[[#This Row],[Tenure]]&lt;=8),"5-8")</f>
        <v>1-3</v>
      </c>
      <c r="T10" t="str" cm="1">
        <f t="array" ref="T10">_xlfn.IFS(AND(Table1[[#This Row],[Salary]]&gt;=180000, Table1[[#This Row],[Salary]] &lt;=500000),"Low (180k-500k)", AND(Table1[[#This Row],[Salary]]&gt;500000, Table1[[#This Row],[Salary]]&lt;=800000), "Medium (501k-800k)", AND(Table1[[#This Row],[Salary]]&gt;800000, Table1[[#This Row],[Salary]]&lt;1200000), "High (801k - 1.2m)")</f>
        <v>Low (180k-500k)</v>
      </c>
    </row>
    <row r="11" spans="1:20" x14ac:dyDescent="0.2">
      <c r="A11">
        <v>10</v>
      </c>
      <c r="B11" t="s">
        <v>24</v>
      </c>
      <c r="C11" t="s">
        <v>20</v>
      </c>
      <c r="D11">
        <v>39</v>
      </c>
      <c r="E11" t="s">
        <v>15</v>
      </c>
      <c r="F11" t="s">
        <v>27</v>
      </c>
      <c r="G11">
        <v>490207</v>
      </c>
      <c r="H11" t="s">
        <v>39</v>
      </c>
      <c r="J11" t="s">
        <v>18</v>
      </c>
      <c r="K11">
        <v>3</v>
      </c>
      <c r="L11">
        <v>17</v>
      </c>
      <c r="M11">
        <v>84</v>
      </c>
      <c r="N11">
        <f>IF(Table1[[#This Row],[Employment_Status]]="Exited",1,0)</f>
        <v>0</v>
      </c>
      <c r="O11" t="str" cm="1">
        <f t="array" ref="O11">_xlfn.IFS(AND(Table1[[#This Row],[Age]]&gt;=22,Table1[[#This Row],[Age]]&lt;=35),"22-35",AND(Table1[[#This Row],[Age]]&gt;=36,Table1[[#This Row],[Age]]&lt;=45),"36-45",AND(Table1[[#This Row],[Age]]&gt;=46,Table1[[#This Row],[Age]]&lt;=55),"46-55")</f>
        <v>36-45</v>
      </c>
      <c r="P11">
        <f>IF(Table1[[#This Row],[Employment_Status]]="active",1,0)</f>
        <v>1</v>
      </c>
      <c r="Q11">
        <v>1</v>
      </c>
      <c r="R11" s="6">
        <f ca="1">YEARFRAC(Table1[[#This Row],[Hire_Date]],IF(Table1[[#This Row],[Employment_Status]]="Exited",Table1[[#This Row],[Exit_Date]],TODAY()))</f>
        <v>2.9694444444444446</v>
      </c>
      <c r="S11" t="str" cm="1">
        <f t="array" aca="1" ref="S11" ca="1">_xlfn.IFS(AND(Table1[[#This Row],[Tenure]]&gt;=0,Table1[[#This Row],[Tenure]]&lt;=1),"0-1",AND(Table1[[#This Row],[Tenure]]&gt;1,Table1[[#This Row],[Tenure]]&lt;=3),"1-3",AND(Table1[[#This Row],[Tenure]]&gt;3,Table1[[#This Row],[Tenure]]&lt;=5),"3-5",AND(Table1[[#This Row],[Tenure]]&gt;5,Table1[[#This Row],[Tenure]]&lt;=8),"5-8")</f>
        <v>1-3</v>
      </c>
      <c r="T11" t="str" cm="1">
        <f t="array" ref="T11">_xlfn.IFS(AND(Table1[[#This Row],[Salary]]&gt;=180000, Table1[[#This Row],[Salary]] &lt;=500000),"Low (180k-500k)", AND(Table1[[#This Row],[Salary]]&gt;500000, Table1[[#This Row],[Salary]]&lt;=800000), "Medium (501k-800k)", AND(Table1[[#This Row],[Salary]]&gt;800000, Table1[[#This Row],[Salary]]&lt;1200000), "High (801k - 1.2m)")</f>
        <v>Low (180k-500k)</v>
      </c>
    </row>
    <row r="12" spans="1:20" x14ac:dyDescent="0.2">
      <c r="A12">
        <v>11</v>
      </c>
      <c r="B12" t="s">
        <v>40</v>
      </c>
      <c r="C12" t="s">
        <v>20</v>
      </c>
      <c r="D12">
        <v>50</v>
      </c>
      <c r="E12" t="s">
        <v>15</v>
      </c>
      <c r="F12" t="s">
        <v>22</v>
      </c>
      <c r="G12">
        <v>729422</v>
      </c>
      <c r="H12" t="s">
        <v>41</v>
      </c>
      <c r="J12" t="s">
        <v>18</v>
      </c>
      <c r="K12">
        <v>3</v>
      </c>
      <c r="L12">
        <v>28</v>
      </c>
      <c r="M12">
        <v>81</v>
      </c>
      <c r="N12">
        <f>IF(Table1[[#This Row],[Employment_Status]]="Exited",1,0)</f>
        <v>0</v>
      </c>
      <c r="O12" t="str" cm="1">
        <f t="array" ref="O12">_xlfn.IFS(AND(Table1[[#This Row],[Age]]&gt;=22,Table1[[#This Row],[Age]]&lt;=35),"22-35",AND(Table1[[#This Row],[Age]]&gt;=36,Table1[[#This Row],[Age]]&lt;=45),"36-45",AND(Table1[[#This Row],[Age]]&gt;=46,Table1[[#This Row],[Age]]&lt;=55),"46-55")</f>
        <v>46-55</v>
      </c>
      <c r="P12">
        <f>IF(Table1[[#This Row],[Employment_Status]]="active",1,0)</f>
        <v>1</v>
      </c>
      <c r="Q12">
        <v>1</v>
      </c>
      <c r="R12" s="6">
        <f ca="1">YEARFRAC(Table1[[#This Row],[Hire_Date]],IF(Table1[[#This Row],[Employment_Status]]="Exited",Table1[[#This Row],[Exit_Date]],TODAY()))</f>
        <v>4.3805555555555555</v>
      </c>
      <c r="S12" t="str" cm="1">
        <f t="array" aca="1" ref="S12" ca="1">_xlfn.IFS(AND(Table1[[#This Row],[Tenure]]&gt;=0,Table1[[#This Row],[Tenure]]&lt;=1),"0-1",AND(Table1[[#This Row],[Tenure]]&gt;1,Table1[[#This Row],[Tenure]]&lt;=3),"1-3",AND(Table1[[#This Row],[Tenure]]&gt;3,Table1[[#This Row],[Tenure]]&lt;=5),"3-5",AND(Table1[[#This Row],[Tenure]]&gt;5,Table1[[#This Row],[Tenure]]&lt;=8),"5-8")</f>
        <v>3-5</v>
      </c>
      <c r="T12" t="str" cm="1">
        <f t="array" ref="T12">_xlfn.IFS(AND(Table1[[#This Row],[Salary]]&gt;=180000, Table1[[#This Row],[Salary]] &lt;=500000),"Low (180k-500k)", AND(Table1[[#This Row],[Salary]]&gt;500000, Table1[[#This Row],[Salary]]&lt;=800000), "Medium (501k-800k)", AND(Table1[[#This Row],[Salary]]&gt;800000, Table1[[#This Row],[Salary]]&lt;1200000), "High (801k - 1.2m)")</f>
        <v>Medium (501k-800k)</v>
      </c>
    </row>
    <row r="13" spans="1:20" x14ac:dyDescent="0.2">
      <c r="A13">
        <v>12</v>
      </c>
      <c r="B13" t="s">
        <v>31</v>
      </c>
      <c r="C13" t="s">
        <v>20</v>
      </c>
      <c r="D13">
        <v>49</v>
      </c>
      <c r="E13" t="s">
        <v>21</v>
      </c>
      <c r="F13" t="s">
        <v>16</v>
      </c>
      <c r="G13">
        <v>324914</v>
      </c>
      <c r="H13" t="s">
        <v>42</v>
      </c>
      <c r="J13" t="s">
        <v>18</v>
      </c>
      <c r="K13">
        <v>4</v>
      </c>
      <c r="L13">
        <v>42</v>
      </c>
      <c r="M13">
        <v>67</v>
      </c>
      <c r="N13">
        <f>IF(Table1[[#This Row],[Employment_Status]]="Exited",1,0)</f>
        <v>0</v>
      </c>
      <c r="O13" t="str" cm="1">
        <f t="array" ref="O13">_xlfn.IFS(AND(Table1[[#This Row],[Age]]&gt;=22,Table1[[#This Row],[Age]]&lt;=35),"22-35",AND(Table1[[#This Row],[Age]]&gt;=36,Table1[[#This Row],[Age]]&lt;=45),"36-45",AND(Table1[[#This Row],[Age]]&gt;=46,Table1[[#This Row],[Age]]&lt;=55),"46-55")</f>
        <v>46-55</v>
      </c>
      <c r="P13">
        <f>IF(Table1[[#This Row],[Employment_Status]]="active",1,0)</f>
        <v>1</v>
      </c>
      <c r="Q13">
        <v>1</v>
      </c>
      <c r="R13" s="6">
        <f ca="1">YEARFRAC(Table1[[#This Row],[Hire_Date]],IF(Table1[[#This Row],[Employment_Status]]="Exited",Table1[[#This Row],[Exit_Date]],TODAY()))</f>
        <v>2.4138888888888888</v>
      </c>
      <c r="S13" t="str" cm="1">
        <f t="array" aca="1" ref="S13" ca="1">_xlfn.IFS(AND(Table1[[#This Row],[Tenure]]&gt;=0,Table1[[#This Row],[Tenure]]&lt;=1),"0-1",AND(Table1[[#This Row],[Tenure]]&gt;1,Table1[[#This Row],[Tenure]]&lt;=3),"1-3",AND(Table1[[#This Row],[Tenure]]&gt;3,Table1[[#This Row],[Tenure]]&lt;=5),"3-5",AND(Table1[[#This Row],[Tenure]]&gt;5,Table1[[#This Row],[Tenure]]&lt;=8),"5-8")</f>
        <v>1-3</v>
      </c>
      <c r="T13" t="str" cm="1">
        <f t="array" ref="T13">_xlfn.IFS(AND(Table1[[#This Row],[Salary]]&gt;=180000, Table1[[#This Row],[Salary]] &lt;=500000),"Low (180k-500k)", AND(Table1[[#This Row],[Salary]]&gt;500000, Table1[[#This Row],[Salary]]&lt;=800000), "Medium (501k-800k)", AND(Table1[[#This Row],[Salary]]&gt;800000, Table1[[#This Row],[Salary]]&lt;1200000), "High (801k - 1.2m)")</f>
        <v>Low (180k-500k)</v>
      </c>
    </row>
    <row r="14" spans="1:20" x14ac:dyDescent="0.2">
      <c r="A14">
        <v>13</v>
      </c>
      <c r="B14" t="s">
        <v>24</v>
      </c>
      <c r="C14" t="s">
        <v>14</v>
      </c>
      <c r="D14">
        <v>55</v>
      </c>
      <c r="E14" t="s">
        <v>15</v>
      </c>
      <c r="F14" t="s">
        <v>34</v>
      </c>
      <c r="G14">
        <v>741832</v>
      </c>
      <c r="H14" t="s">
        <v>43</v>
      </c>
      <c r="J14" t="s">
        <v>18</v>
      </c>
      <c r="K14">
        <v>5</v>
      </c>
      <c r="L14">
        <v>36</v>
      </c>
      <c r="M14">
        <v>73</v>
      </c>
      <c r="N14">
        <f>IF(Table1[[#This Row],[Employment_Status]]="Exited",1,0)</f>
        <v>0</v>
      </c>
      <c r="O14" t="str" cm="1">
        <f t="array" ref="O14">_xlfn.IFS(AND(Table1[[#This Row],[Age]]&gt;=22,Table1[[#This Row],[Age]]&lt;=35),"22-35",AND(Table1[[#This Row],[Age]]&gt;=36,Table1[[#This Row],[Age]]&lt;=45),"36-45",AND(Table1[[#This Row],[Age]]&gt;=46,Table1[[#This Row],[Age]]&lt;=55),"46-55")</f>
        <v>46-55</v>
      </c>
      <c r="P14">
        <f>IF(Table1[[#This Row],[Employment_Status]]="active",1,0)</f>
        <v>1</v>
      </c>
      <c r="Q14">
        <v>1</v>
      </c>
      <c r="R14" s="6">
        <f ca="1">YEARFRAC(Table1[[#This Row],[Hire_Date]],IF(Table1[[#This Row],[Employment_Status]]="Exited",Table1[[#This Row],[Exit_Date]],TODAY()))</f>
        <v>6.7527777777777782</v>
      </c>
      <c r="S14" t="str" cm="1">
        <f t="array" aca="1" ref="S14" ca="1">_xlfn.IFS(AND(Table1[[#This Row],[Tenure]]&gt;=0,Table1[[#This Row],[Tenure]]&lt;=1),"0-1",AND(Table1[[#This Row],[Tenure]]&gt;1,Table1[[#This Row],[Tenure]]&lt;=3),"1-3",AND(Table1[[#This Row],[Tenure]]&gt;3,Table1[[#This Row],[Tenure]]&lt;=5),"3-5",AND(Table1[[#This Row],[Tenure]]&gt;5,Table1[[#This Row],[Tenure]]&lt;=8),"5-8")</f>
        <v>5-8</v>
      </c>
      <c r="T14" t="str" cm="1">
        <f t="array" ref="T14">_xlfn.IFS(AND(Table1[[#This Row],[Salary]]&gt;=180000, Table1[[#This Row],[Salary]] &lt;=500000),"Low (180k-500k)", AND(Table1[[#This Row],[Salary]]&gt;500000, Table1[[#This Row],[Salary]]&lt;=800000), "Medium (501k-800k)", AND(Table1[[#This Row],[Salary]]&gt;800000, Table1[[#This Row],[Salary]]&lt;1200000), "High (801k - 1.2m)")</f>
        <v>Medium (501k-800k)</v>
      </c>
    </row>
    <row r="15" spans="1:20" x14ac:dyDescent="0.2">
      <c r="A15">
        <v>14</v>
      </c>
      <c r="B15" t="s">
        <v>31</v>
      </c>
      <c r="C15" t="s">
        <v>20</v>
      </c>
      <c r="D15">
        <v>34</v>
      </c>
      <c r="E15" t="s">
        <v>15</v>
      </c>
      <c r="F15" t="s">
        <v>34</v>
      </c>
      <c r="G15">
        <v>596199</v>
      </c>
      <c r="H15" t="s">
        <v>44</v>
      </c>
      <c r="J15" t="s">
        <v>18</v>
      </c>
      <c r="K15">
        <v>3</v>
      </c>
      <c r="L15">
        <v>47</v>
      </c>
      <c r="M15">
        <v>77</v>
      </c>
      <c r="N15">
        <f>IF(Table1[[#This Row],[Employment_Status]]="Exited",1,0)</f>
        <v>0</v>
      </c>
      <c r="O15" t="str" cm="1">
        <f t="array" ref="O15">_xlfn.IFS(AND(Table1[[#This Row],[Age]]&gt;=22,Table1[[#This Row],[Age]]&lt;=35),"22-35",AND(Table1[[#This Row],[Age]]&gt;=36,Table1[[#This Row],[Age]]&lt;=45),"36-45",AND(Table1[[#This Row],[Age]]&gt;=46,Table1[[#This Row],[Age]]&lt;=55),"46-55")</f>
        <v>22-35</v>
      </c>
      <c r="P15">
        <f>IF(Table1[[#This Row],[Employment_Status]]="active",1,0)</f>
        <v>1</v>
      </c>
      <c r="Q15">
        <v>1</v>
      </c>
      <c r="R15" s="6">
        <f ca="1">YEARFRAC(Table1[[#This Row],[Hire_Date]],IF(Table1[[#This Row],[Employment_Status]]="Exited",Table1[[#This Row],[Exit_Date]],TODAY()))</f>
        <v>3.7194444444444446</v>
      </c>
      <c r="S15" t="str" cm="1">
        <f t="array" aca="1" ref="S15" ca="1">_xlfn.IFS(AND(Table1[[#This Row],[Tenure]]&gt;=0,Table1[[#This Row],[Tenure]]&lt;=1),"0-1",AND(Table1[[#This Row],[Tenure]]&gt;1,Table1[[#This Row],[Tenure]]&lt;=3),"1-3",AND(Table1[[#This Row],[Tenure]]&gt;3,Table1[[#This Row],[Tenure]]&lt;=5),"3-5",AND(Table1[[#This Row],[Tenure]]&gt;5,Table1[[#This Row],[Tenure]]&lt;=8),"5-8")</f>
        <v>3-5</v>
      </c>
      <c r="T15" t="str" cm="1">
        <f t="array" ref="T15">_xlfn.IFS(AND(Table1[[#This Row],[Salary]]&gt;=180000, Table1[[#This Row],[Salary]] &lt;=500000),"Low (180k-500k)", AND(Table1[[#This Row],[Salary]]&gt;500000, Table1[[#This Row],[Salary]]&lt;=800000), "Medium (501k-800k)", AND(Table1[[#This Row],[Salary]]&gt;800000, Table1[[#This Row],[Salary]]&lt;1200000), "High (801k - 1.2m)")</f>
        <v>Medium (501k-800k)</v>
      </c>
    </row>
    <row r="16" spans="1:20" x14ac:dyDescent="0.2">
      <c r="A16">
        <v>15</v>
      </c>
      <c r="B16" t="s">
        <v>19</v>
      </c>
      <c r="C16" t="s">
        <v>14</v>
      </c>
      <c r="D16">
        <v>32</v>
      </c>
      <c r="E16" t="s">
        <v>45</v>
      </c>
      <c r="F16" t="s">
        <v>22</v>
      </c>
      <c r="G16">
        <v>209615</v>
      </c>
      <c r="H16" t="s">
        <v>46</v>
      </c>
      <c r="J16" t="s">
        <v>18</v>
      </c>
      <c r="K16">
        <v>3</v>
      </c>
      <c r="L16">
        <v>19</v>
      </c>
      <c r="M16">
        <v>70</v>
      </c>
      <c r="N16">
        <f>IF(Table1[[#This Row],[Employment_Status]]="Exited",1,0)</f>
        <v>0</v>
      </c>
      <c r="O16" t="str" cm="1">
        <f t="array" ref="O16">_xlfn.IFS(AND(Table1[[#This Row],[Age]]&gt;=22,Table1[[#This Row],[Age]]&lt;=35),"22-35",AND(Table1[[#This Row],[Age]]&gt;=36,Table1[[#This Row],[Age]]&lt;=45),"36-45",AND(Table1[[#This Row],[Age]]&gt;=46,Table1[[#This Row],[Age]]&lt;=55),"46-55")</f>
        <v>22-35</v>
      </c>
      <c r="P16">
        <f>IF(Table1[[#This Row],[Employment_Status]]="active",1,0)</f>
        <v>1</v>
      </c>
      <c r="Q16">
        <v>1</v>
      </c>
      <c r="R16" s="6">
        <f ca="1">YEARFRAC(Table1[[#This Row],[Hire_Date]],IF(Table1[[#This Row],[Employment_Status]]="Exited",Table1[[#This Row],[Exit_Date]],TODAY()))</f>
        <v>5.677777777777778</v>
      </c>
      <c r="S16" t="str" cm="1">
        <f t="array" aca="1" ref="S16" ca="1">_xlfn.IFS(AND(Table1[[#This Row],[Tenure]]&gt;=0,Table1[[#This Row],[Tenure]]&lt;=1),"0-1",AND(Table1[[#This Row],[Tenure]]&gt;1,Table1[[#This Row],[Tenure]]&lt;=3),"1-3",AND(Table1[[#This Row],[Tenure]]&gt;3,Table1[[#This Row],[Tenure]]&lt;=5),"3-5",AND(Table1[[#This Row],[Tenure]]&gt;5,Table1[[#This Row],[Tenure]]&lt;=8),"5-8")</f>
        <v>5-8</v>
      </c>
      <c r="T16" t="str" cm="1">
        <f t="array" ref="T16">_xlfn.IFS(AND(Table1[[#This Row],[Salary]]&gt;=180000, Table1[[#This Row],[Salary]] &lt;=500000),"Low (180k-500k)", AND(Table1[[#This Row],[Salary]]&gt;500000, Table1[[#This Row],[Salary]]&lt;=800000), "Medium (501k-800k)", AND(Table1[[#This Row],[Salary]]&gt;800000, Table1[[#This Row],[Salary]]&lt;1200000), "High (801k - 1.2m)")</f>
        <v>Low (180k-500k)</v>
      </c>
    </row>
    <row r="17" spans="1:20" x14ac:dyDescent="0.2">
      <c r="A17">
        <v>16</v>
      </c>
      <c r="B17" t="s">
        <v>47</v>
      </c>
      <c r="C17" t="s">
        <v>20</v>
      </c>
      <c r="D17">
        <v>22</v>
      </c>
      <c r="E17" t="s">
        <v>15</v>
      </c>
      <c r="F17" t="s">
        <v>22</v>
      </c>
      <c r="G17">
        <v>976947</v>
      </c>
      <c r="H17" t="s">
        <v>48</v>
      </c>
      <c r="J17" t="s">
        <v>18</v>
      </c>
      <c r="K17">
        <v>3</v>
      </c>
      <c r="L17">
        <v>24</v>
      </c>
      <c r="M17">
        <v>93</v>
      </c>
      <c r="N17">
        <f>IF(Table1[[#This Row],[Employment_Status]]="Exited",1,0)</f>
        <v>0</v>
      </c>
      <c r="O17" t="str" cm="1">
        <f t="array" ref="O17">_xlfn.IFS(AND(Table1[[#This Row],[Age]]&gt;=22,Table1[[#This Row],[Age]]&lt;=35),"22-35",AND(Table1[[#This Row],[Age]]&gt;=36,Table1[[#This Row],[Age]]&lt;=45),"36-45",AND(Table1[[#This Row],[Age]]&gt;=46,Table1[[#This Row],[Age]]&lt;=55),"46-55")</f>
        <v>22-35</v>
      </c>
      <c r="P17">
        <f>IF(Table1[[#This Row],[Employment_Status]]="active",1,0)</f>
        <v>1</v>
      </c>
      <c r="Q17">
        <v>1</v>
      </c>
      <c r="R17" s="6">
        <f ca="1">YEARFRAC(Table1[[#This Row],[Hire_Date]],IF(Table1[[#This Row],[Employment_Status]]="Exited",Table1[[#This Row],[Exit_Date]],TODAY()))</f>
        <v>2.9249999999999998</v>
      </c>
      <c r="S17" t="str" cm="1">
        <f t="array" aca="1" ref="S17" ca="1">_xlfn.IFS(AND(Table1[[#This Row],[Tenure]]&gt;=0,Table1[[#This Row],[Tenure]]&lt;=1),"0-1",AND(Table1[[#This Row],[Tenure]]&gt;1,Table1[[#This Row],[Tenure]]&lt;=3),"1-3",AND(Table1[[#This Row],[Tenure]]&gt;3,Table1[[#This Row],[Tenure]]&lt;=5),"3-5",AND(Table1[[#This Row],[Tenure]]&gt;5,Table1[[#This Row],[Tenure]]&lt;=8),"5-8")</f>
        <v>1-3</v>
      </c>
      <c r="T17" t="str" cm="1">
        <f t="array" ref="T17">_xlfn.IFS(AND(Table1[[#This Row],[Salary]]&gt;=180000, Table1[[#This Row],[Salary]] &lt;=500000),"Low (180k-500k)", AND(Table1[[#This Row],[Salary]]&gt;500000, Table1[[#This Row],[Salary]]&lt;=800000), "Medium (501k-800k)", AND(Table1[[#This Row],[Salary]]&gt;800000, Table1[[#This Row],[Salary]]&lt;1200000), "High (801k - 1.2m)")</f>
        <v>High (801k - 1.2m)</v>
      </c>
    </row>
    <row r="18" spans="1:20" x14ac:dyDescent="0.2">
      <c r="A18">
        <v>17</v>
      </c>
      <c r="B18" t="s">
        <v>19</v>
      </c>
      <c r="C18" t="s">
        <v>20</v>
      </c>
      <c r="D18">
        <v>23</v>
      </c>
      <c r="E18" t="s">
        <v>49</v>
      </c>
      <c r="F18" t="s">
        <v>27</v>
      </c>
      <c r="G18">
        <v>527751</v>
      </c>
      <c r="H18" t="s">
        <v>50</v>
      </c>
      <c r="J18" t="s">
        <v>18</v>
      </c>
      <c r="K18">
        <v>3</v>
      </c>
      <c r="L18">
        <v>13</v>
      </c>
      <c r="M18">
        <v>73</v>
      </c>
      <c r="N18">
        <f>IF(Table1[[#This Row],[Employment_Status]]="Exited",1,0)</f>
        <v>0</v>
      </c>
      <c r="O18" t="str" cm="1">
        <f t="array" ref="O18">_xlfn.IFS(AND(Table1[[#This Row],[Age]]&gt;=22,Table1[[#This Row],[Age]]&lt;=35),"22-35",AND(Table1[[#This Row],[Age]]&gt;=36,Table1[[#This Row],[Age]]&lt;=45),"36-45",AND(Table1[[#This Row],[Age]]&gt;=46,Table1[[#This Row],[Age]]&lt;=55),"46-55")</f>
        <v>22-35</v>
      </c>
      <c r="P18">
        <f>IF(Table1[[#This Row],[Employment_Status]]="active",1,0)</f>
        <v>1</v>
      </c>
      <c r="Q18">
        <v>1</v>
      </c>
      <c r="R18" s="6">
        <f ca="1">YEARFRAC(Table1[[#This Row],[Hire_Date]],IF(Table1[[#This Row],[Employment_Status]]="Exited",Table1[[#This Row],[Exit_Date]],TODAY()))</f>
        <v>6.177777777777778</v>
      </c>
      <c r="S18" t="str" cm="1">
        <f t="array" aca="1" ref="S18" ca="1">_xlfn.IFS(AND(Table1[[#This Row],[Tenure]]&gt;=0,Table1[[#This Row],[Tenure]]&lt;=1),"0-1",AND(Table1[[#This Row],[Tenure]]&gt;1,Table1[[#This Row],[Tenure]]&lt;=3),"1-3",AND(Table1[[#This Row],[Tenure]]&gt;3,Table1[[#This Row],[Tenure]]&lt;=5),"3-5",AND(Table1[[#This Row],[Tenure]]&gt;5,Table1[[#This Row],[Tenure]]&lt;=8),"5-8")</f>
        <v>5-8</v>
      </c>
      <c r="T18" t="str" cm="1">
        <f t="array" ref="T18">_xlfn.IFS(AND(Table1[[#This Row],[Salary]]&gt;=180000, Table1[[#This Row],[Salary]] &lt;=500000),"Low (180k-500k)", AND(Table1[[#This Row],[Salary]]&gt;500000, Table1[[#This Row],[Salary]]&lt;=800000), "Medium (501k-800k)", AND(Table1[[#This Row],[Salary]]&gt;800000, Table1[[#This Row],[Salary]]&lt;1200000), "High (801k - 1.2m)")</f>
        <v>Medium (501k-800k)</v>
      </c>
    </row>
    <row r="19" spans="1:20" x14ac:dyDescent="0.2">
      <c r="A19">
        <v>18</v>
      </c>
      <c r="B19" t="s">
        <v>31</v>
      </c>
      <c r="C19" t="s">
        <v>14</v>
      </c>
      <c r="D19">
        <v>51</v>
      </c>
      <c r="E19" t="s">
        <v>49</v>
      </c>
      <c r="F19" t="s">
        <v>22</v>
      </c>
      <c r="G19">
        <v>290443</v>
      </c>
      <c r="H19" t="s">
        <v>51</v>
      </c>
      <c r="J19" t="s">
        <v>18</v>
      </c>
      <c r="K19">
        <v>5</v>
      </c>
      <c r="L19">
        <v>31</v>
      </c>
      <c r="M19">
        <v>69</v>
      </c>
      <c r="N19">
        <f>IF(Table1[[#This Row],[Employment_Status]]="Exited",1,0)</f>
        <v>0</v>
      </c>
      <c r="O19" t="str" cm="1">
        <f t="array" ref="O19">_xlfn.IFS(AND(Table1[[#This Row],[Age]]&gt;=22,Table1[[#This Row],[Age]]&lt;=35),"22-35",AND(Table1[[#This Row],[Age]]&gt;=36,Table1[[#This Row],[Age]]&lt;=45),"36-45",AND(Table1[[#This Row],[Age]]&gt;=46,Table1[[#This Row],[Age]]&lt;=55),"46-55")</f>
        <v>46-55</v>
      </c>
      <c r="P19">
        <f>IF(Table1[[#This Row],[Employment_Status]]="active",1,0)</f>
        <v>1</v>
      </c>
      <c r="Q19">
        <v>1</v>
      </c>
      <c r="R19" s="6">
        <f ca="1">YEARFRAC(Table1[[#This Row],[Hire_Date]],IF(Table1[[#This Row],[Employment_Status]]="Exited",Table1[[#This Row],[Exit_Date]],TODAY()))</f>
        <v>4.7444444444444445</v>
      </c>
      <c r="S19" t="str" cm="1">
        <f t="array" aca="1" ref="S19" ca="1">_xlfn.IFS(AND(Table1[[#This Row],[Tenure]]&gt;=0,Table1[[#This Row],[Tenure]]&lt;=1),"0-1",AND(Table1[[#This Row],[Tenure]]&gt;1,Table1[[#This Row],[Tenure]]&lt;=3),"1-3",AND(Table1[[#This Row],[Tenure]]&gt;3,Table1[[#This Row],[Tenure]]&lt;=5),"3-5",AND(Table1[[#This Row],[Tenure]]&gt;5,Table1[[#This Row],[Tenure]]&lt;=8),"5-8")</f>
        <v>3-5</v>
      </c>
      <c r="T19" t="str" cm="1">
        <f t="array" ref="T19">_xlfn.IFS(AND(Table1[[#This Row],[Salary]]&gt;=180000, Table1[[#This Row],[Salary]] &lt;=500000),"Low (180k-500k)", AND(Table1[[#This Row],[Salary]]&gt;500000, Table1[[#This Row],[Salary]]&lt;=800000), "Medium (501k-800k)", AND(Table1[[#This Row],[Salary]]&gt;800000, Table1[[#This Row],[Salary]]&lt;1200000), "High (801k - 1.2m)")</f>
        <v>Low (180k-500k)</v>
      </c>
    </row>
    <row r="20" spans="1:20" x14ac:dyDescent="0.2">
      <c r="A20">
        <v>19</v>
      </c>
      <c r="B20" t="s">
        <v>19</v>
      </c>
      <c r="C20" t="s">
        <v>14</v>
      </c>
      <c r="D20">
        <v>22</v>
      </c>
      <c r="E20" t="s">
        <v>15</v>
      </c>
      <c r="F20" t="s">
        <v>16</v>
      </c>
      <c r="G20">
        <v>1048124</v>
      </c>
      <c r="H20" t="s">
        <v>52</v>
      </c>
      <c r="J20" t="s">
        <v>18</v>
      </c>
      <c r="K20">
        <v>3</v>
      </c>
      <c r="L20">
        <v>28</v>
      </c>
      <c r="M20">
        <v>88</v>
      </c>
      <c r="N20">
        <f>IF(Table1[[#This Row],[Employment_Status]]="Exited",1,0)</f>
        <v>0</v>
      </c>
      <c r="O20" t="str" cm="1">
        <f t="array" ref="O20">_xlfn.IFS(AND(Table1[[#This Row],[Age]]&gt;=22,Table1[[#This Row],[Age]]&lt;=35),"22-35",AND(Table1[[#This Row],[Age]]&gt;=36,Table1[[#This Row],[Age]]&lt;=45),"36-45",AND(Table1[[#This Row],[Age]]&gt;=46,Table1[[#This Row],[Age]]&lt;=55),"46-55")</f>
        <v>22-35</v>
      </c>
      <c r="P20">
        <f>IF(Table1[[#This Row],[Employment_Status]]="active",1,0)</f>
        <v>1</v>
      </c>
      <c r="Q20">
        <v>1</v>
      </c>
      <c r="R20" s="6">
        <f ca="1">YEARFRAC(Table1[[#This Row],[Hire_Date]],IF(Table1[[#This Row],[Employment_Status]]="Exited",Table1[[#This Row],[Exit_Date]],TODAY()))</f>
        <v>3.6194444444444445</v>
      </c>
      <c r="S20" t="str" cm="1">
        <f t="array" aca="1" ref="S20" ca="1">_xlfn.IFS(AND(Table1[[#This Row],[Tenure]]&gt;=0,Table1[[#This Row],[Tenure]]&lt;=1),"0-1",AND(Table1[[#This Row],[Tenure]]&gt;1,Table1[[#This Row],[Tenure]]&lt;=3),"1-3",AND(Table1[[#This Row],[Tenure]]&gt;3,Table1[[#This Row],[Tenure]]&lt;=5),"3-5",AND(Table1[[#This Row],[Tenure]]&gt;5,Table1[[#This Row],[Tenure]]&lt;=8),"5-8")</f>
        <v>3-5</v>
      </c>
      <c r="T20" t="str" cm="1">
        <f t="array" ref="T20">_xlfn.IFS(AND(Table1[[#This Row],[Salary]]&gt;=180000, Table1[[#This Row],[Salary]] &lt;=500000),"Low (180k-500k)", AND(Table1[[#This Row],[Salary]]&gt;500000, Table1[[#This Row],[Salary]]&lt;=800000), "Medium (501k-800k)", AND(Table1[[#This Row],[Salary]]&gt;800000, Table1[[#This Row],[Salary]]&lt;1200000), "High (801k - 1.2m)")</f>
        <v>High (801k - 1.2m)</v>
      </c>
    </row>
    <row r="21" spans="1:20" x14ac:dyDescent="0.2">
      <c r="A21">
        <v>20</v>
      </c>
      <c r="B21" t="s">
        <v>33</v>
      </c>
      <c r="C21" t="s">
        <v>14</v>
      </c>
      <c r="D21">
        <v>34</v>
      </c>
      <c r="E21" t="s">
        <v>21</v>
      </c>
      <c r="F21" t="s">
        <v>16</v>
      </c>
      <c r="G21">
        <v>394975</v>
      </c>
      <c r="H21" t="s">
        <v>53</v>
      </c>
      <c r="I21" t="s">
        <v>54</v>
      </c>
      <c r="J21" t="s">
        <v>55</v>
      </c>
      <c r="K21">
        <v>1</v>
      </c>
      <c r="L21">
        <v>9</v>
      </c>
      <c r="M21">
        <v>78</v>
      </c>
      <c r="N21">
        <f>IF(Table1[[#This Row],[Employment_Status]]="Exited",1,0)</f>
        <v>1</v>
      </c>
      <c r="O21" t="str" cm="1">
        <f t="array" ref="O21">_xlfn.IFS(AND(Table1[[#This Row],[Age]]&gt;=22,Table1[[#This Row],[Age]]&lt;=35),"22-35",AND(Table1[[#This Row],[Age]]&gt;=36,Table1[[#This Row],[Age]]&lt;=45),"36-45",AND(Table1[[#This Row],[Age]]&gt;=46,Table1[[#This Row],[Age]]&lt;=55),"46-55")</f>
        <v>22-35</v>
      </c>
      <c r="P21">
        <f>IF(Table1[[#This Row],[Employment_Status]]="active",1,0)</f>
        <v>0</v>
      </c>
      <c r="Q21">
        <v>1</v>
      </c>
      <c r="R21" s="6">
        <f ca="1">YEARFRAC(Table1[[#This Row],[Hire_Date]],IF(Table1[[#This Row],[Employment_Status]]="Exited",Table1[[#This Row],[Exit_Date]],TODAY()))</f>
        <v>1.6111111111111112</v>
      </c>
      <c r="S21" t="str" cm="1">
        <f t="array" aca="1" ref="S21" ca="1">_xlfn.IFS(AND(Table1[[#This Row],[Tenure]]&gt;=0,Table1[[#This Row],[Tenure]]&lt;=1),"0-1",AND(Table1[[#This Row],[Tenure]]&gt;1,Table1[[#This Row],[Tenure]]&lt;=3),"1-3",AND(Table1[[#This Row],[Tenure]]&gt;3,Table1[[#This Row],[Tenure]]&lt;=5),"3-5",AND(Table1[[#This Row],[Tenure]]&gt;5,Table1[[#This Row],[Tenure]]&lt;=8),"5-8")</f>
        <v>1-3</v>
      </c>
      <c r="T21" t="str" cm="1">
        <f t="array" ref="T21">_xlfn.IFS(AND(Table1[[#This Row],[Salary]]&gt;=180000, Table1[[#This Row],[Salary]] &lt;=500000),"Low (180k-500k)", AND(Table1[[#This Row],[Salary]]&gt;500000, Table1[[#This Row],[Salary]]&lt;=800000), "Medium (501k-800k)", AND(Table1[[#This Row],[Salary]]&gt;800000, Table1[[#This Row],[Salary]]&lt;1200000), "High (801k - 1.2m)")</f>
        <v>Low (180k-500k)</v>
      </c>
    </row>
    <row r="22" spans="1:20" x14ac:dyDescent="0.2">
      <c r="A22">
        <v>21</v>
      </c>
      <c r="B22" t="s">
        <v>36</v>
      </c>
      <c r="C22" t="s">
        <v>14</v>
      </c>
      <c r="D22">
        <v>27</v>
      </c>
      <c r="E22" t="s">
        <v>21</v>
      </c>
      <c r="F22" t="s">
        <v>27</v>
      </c>
      <c r="G22">
        <v>431517</v>
      </c>
      <c r="H22" t="s">
        <v>56</v>
      </c>
      <c r="J22" t="s">
        <v>18</v>
      </c>
      <c r="K22">
        <v>3</v>
      </c>
      <c r="L22">
        <v>23</v>
      </c>
      <c r="M22">
        <v>65</v>
      </c>
      <c r="N22">
        <f>IF(Table1[[#This Row],[Employment_Status]]="Exited",1,0)</f>
        <v>0</v>
      </c>
      <c r="O22" t="str" cm="1">
        <f t="array" ref="O22">_xlfn.IFS(AND(Table1[[#This Row],[Age]]&gt;=22,Table1[[#This Row],[Age]]&lt;=35),"22-35",AND(Table1[[#This Row],[Age]]&gt;=36,Table1[[#This Row],[Age]]&lt;=45),"36-45",AND(Table1[[#This Row],[Age]]&gt;=46,Table1[[#This Row],[Age]]&lt;=55),"46-55")</f>
        <v>22-35</v>
      </c>
      <c r="P22">
        <f>IF(Table1[[#This Row],[Employment_Status]]="active",1,0)</f>
        <v>1</v>
      </c>
      <c r="Q22">
        <v>1</v>
      </c>
      <c r="R22" s="6">
        <f ca="1">YEARFRAC(Table1[[#This Row],[Hire_Date]],IF(Table1[[#This Row],[Employment_Status]]="Exited",Table1[[#This Row],[Exit_Date]],TODAY()))</f>
        <v>7.3111111111111109</v>
      </c>
      <c r="S22" t="str" cm="1">
        <f t="array" aca="1" ref="S22" ca="1">_xlfn.IFS(AND(Table1[[#This Row],[Tenure]]&gt;=0,Table1[[#This Row],[Tenure]]&lt;=1),"0-1",AND(Table1[[#This Row],[Tenure]]&gt;1,Table1[[#This Row],[Tenure]]&lt;=3),"1-3",AND(Table1[[#This Row],[Tenure]]&gt;3,Table1[[#This Row],[Tenure]]&lt;=5),"3-5",AND(Table1[[#This Row],[Tenure]]&gt;5,Table1[[#This Row],[Tenure]]&lt;=8),"5-8")</f>
        <v>5-8</v>
      </c>
      <c r="T22" t="str" cm="1">
        <f t="array" ref="T22">_xlfn.IFS(AND(Table1[[#This Row],[Salary]]&gt;=180000, Table1[[#This Row],[Salary]] &lt;=500000),"Low (180k-500k)", AND(Table1[[#This Row],[Salary]]&gt;500000, Table1[[#This Row],[Salary]]&lt;=800000), "Medium (501k-800k)", AND(Table1[[#This Row],[Salary]]&gt;800000, Table1[[#This Row],[Salary]]&lt;1200000), "High (801k - 1.2m)")</f>
        <v>Low (180k-500k)</v>
      </c>
    </row>
    <row r="23" spans="1:20" x14ac:dyDescent="0.2">
      <c r="A23">
        <v>22</v>
      </c>
      <c r="B23" t="s">
        <v>24</v>
      </c>
      <c r="C23" t="s">
        <v>14</v>
      </c>
      <c r="D23">
        <v>47</v>
      </c>
      <c r="E23" t="s">
        <v>45</v>
      </c>
      <c r="F23" t="s">
        <v>22</v>
      </c>
      <c r="G23">
        <v>257657</v>
      </c>
      <c r="H23" t="s">
        <v>57</v>
      </c>
      <c r="J23" t="s">
        <v>18</v>
      </c>
      <c r="K23">
        <v>4</v>
      </c>
      <c r="L23">
        <v>40</v>
      </c>
      <c r="M23">
        <v>69</v>
      </c>
      <c r="N23">
        <f>IF(Table1[[#This Row],[Employment_Status]]="Exited",1,0)</f>
        <v>0</v>
      </c>
      <c r="O23" t="str" cm="1">
        <f t="array" ref="O23">_xlfn.IFS(AND(Table1[[#This Row],[Age]]&gt;=22,Table1[[#This Row],[Age]]&lt;=35),"22-35",AND(Table1[[#This Row],[Age]]&gt;=36,Table1[[#This Row],[Age]]&lt;=45),"36-45",AND(Table1[[#This Row],[Age]]&gt;=46,Table1[[#This Row],[Age]]&lt;=55),"46-55")</f>
        <v>46-55</v>
      </c>
      <c r="P23">
        <f>IF(Table1[[#This Row],[Employment_Status]]="active",1,0)</f>
        <v>1</v>
      </c>
      <c r="Q23">
        <v>1</v>
      </c>
      <c r="R23" s="6">
        <f ca="1">YEARFRAC(Table1[[#This Row],[Hire_Date]],IF(Table1[[#This Row],[Employment_Status]]="Exited",Table1[[#This Row],[Exit_Date]],TODAY()))</f>
        <v>4.3361111111111112</v>
      </c>
      <c r="S23" t="str" cm="1">
        <f t="array" aca="1" ref="S23" ca="1">_xlfn.IFS(AND(Table1[[#This Row],[Tenure]]&gt;=0,Table1[[#This Row],[Tenure]]&lt;=1),"0-1",AND(Table1[[#This Row],[Tenure]]&gt;1,Table1[[#This Row],[Tenure]]&lt;=3),"1-3",AND(Table1[[#This Row],[Tenure]]&gt;3,Table1[[#This Row],[Tenure]]&lt;=5),"3-5",AND(Table1[[#This Row],[Tenure]]&gt;5,Table1[[#This Row],[Tenure]]&lt;=8),"5-8")</f>
        <v>3-5</v>
      </c>
      <c r="T23" t="str" cm="1">
        <f t="array" ref="T23">_xlfn.IFS(AND(Table1[[#This Row],[Salary]]&gt;=180000, Table1[[#This Row],[Salary]] &lt;=500000),"Low (180k-500k)", AND(Table1[[#This Row],[Salary]]&gt;500000, Table1[[#This Row],[Salary]]&lt;=800000), "Medium (501k-800k)", AND(Table1[[#This Row],[Salary]]&gt;800000, Table1[[#This Row],[Salary]]&lt;1200000), "High (801k - 1.2m)")</f>
        <v>Low (180k-500k)</v>
      </c>
    </row>
    <row r="24" spans="1:20" x14ac:dyDescent="0.2">
      <c r="A24">
        <v>23</v>
      </c>
      <c r="B24" t="s">
        <v>58</v>
      </c>
      <c r="C24" t="s">
        <v>14</v>
      </c>
      <c r="D24">
        <v>39</v>
      </c>
      <c r="E24" t="s">
        <v>21</v>
      </c>
      <c r="F24" t="s">
        <v>27</v>
      </c>
      <c r="G24">
        <v>396835</v>
      </c>
      <c r="H24" t="s">
        <v>59</v>
      </c>
      <c r="J24" t="s">
        <v>18</v>
      </c>
      <c r="K24">
        <v>4</v>
      </c>
      <c r="L24">
        <v>32</v>
      </c>
      <c r="M24">
        <v>76</v>
      </c>
      <c r="N24">
        <f>IF(Table1[[#This Row],[Employment_Status]]="Exited",1,0)</f>
        <v>0</v>
      </c>
      <c r="O24" t="str" cm="1">
        <f t="array" ref="O24">_xlfn.IFS(AND(Table1[[#This Row],[Age]]&gt;=22,Table1[[#This Row],[Age]]&lt;=35),"22-35",AND(Table1[[#This Row],[Age]]&gt;=36,Table1[[#This Row],[Age]]&lt;=45),"36-45",AND(Table1[[#This Row],[Age]]&gt;=46,Table1[[#This Row],[Age]]&lt;=55),"46-55")</f>
        <v>36-45</v>
      </c>
      <c r="P24">
        <f>IF(Table1[[#This Row],[Employment_Status]]="active",1,0)</f>
        <v>1</v>
      </c>
      <c r="Q24">
        <v>1</v>
      </c>
      <c r="R24" s="6">
        <f ca="1">YEARFRAC(Table1[[#This Row],[Hire_Date]],IF(Table1[[#This Row],[Employment_Status]]="Exited",Table1[[#This Row],[Exit_Date]],TODAY()))</f>
        <v>6.8111111111111109</v>
      </c>
      <c r="S24" t="str" cm="1">
        <f t="array" aca="1" ref="S24" ca="1">_xlfn.IFS(AND(Table1[[#This Row],[Tenure]]&gt;=0,Table1[[#This Row],[Tenure]]&lt;=1),"0-1",AND(Table1[[#This Row],[Tenure]]&gt;1,Table1[[#This Row],[Tenure]]&lt;=3),"1-3",AND(Table1[[#This Row],[Tenure]]&gt;3,Table1[[#This Row],[Tenure]]&lt;=5),"3-5",AND(Table1[[#This Row],[Tenure]]&gt;5,Table1[[#This Row],[Tenure]]&lt;=8),"5-8")</f>
        <v>5-8</v>
      </c>
      <c r="T24" t="str" cm="1">
        <f t="array" ref="T24">_xlfn.IFS(AND(Table1[[#This Row],[Salary]]&gt;=180000, Table1[[#This Row],[Salary]] &lt;=500000),"Low (180k-500k)", AND(Table1[[#This Row],[Salary]]&gt;500000, Table1[[#This Row],[Salary]]&lt;=800000), "Medium (501k-800k)", AND(Table1[[#This Row],[Salary]]&gt;800000, Table1[[#This Row],[Salary]]&lt;1200000), "High (801k - 1.2m)")</f>
        <v>Low (180k-500k)</v>
      </c>
    </row>
    <row r="25" spans="1:20" x14ac:dyDescent="0.2">
      <c r="A25">
        <v>24</v>
      </c>
      <c r="B25" t="s">
        <v>47</v>
      </c>
      <c r="C25" t="s">
        <v>14</v>
      </c>
      <c r="D25">
        <v>28</v>
      </c>
      <c r="E25" t="s">
        <v>15</v>
      </c>
      <c r="F25" t="s">
        <v>22</v>
      </c>
      <c r="G25">
        <v>444374</v>
      </c>
      <c r="H25" t="s">
        <v>60</v>
      </c>
      <c r="J25" t="s">
        <v>18</v>
      </c>
      <c r="K25">
        <v>3</v>
      </c>
      <c r="L25">
        <v>31</v>
      </c>
      <c r="M25">
        <v>77</v>
      </c>
      <c r="N25">
        <f>IF(Table1[[#This Row],[Employment_Status]]="Exited",1,0)</f>
        <v>0</v>
      </c>
      <c r="O25" t="str" cm="1">
        <f t="array" ref="O25">_xlfn.IFS(AND(Table1[[#This Row],[Age]]&gt;=22,Table1[[#This Row],[Age]]&lt;=35),"22-35",AND(Table1[[#This Row],[Age]]&gt;=36,Table1[[#This Row],[Age]]&lt;=45),"36-45",AND(Table1[[#This Row],[Age]]&gt;=46,Table1[[#This Row],[Age]]&lt;=55),"46-55")</f>
        <v>22-35</v>
      </c>
      <c r="P25">
        <f>IF(Table1[[#This Row],[Employment_Status]]="active",1,0)</f>
        <v>1</v>
      </c>
      <c r="Q25">
        <v>1</v>
      </c>
      <c r="R25" s="6">
        <f ca="1">YEARFRAC(Table1[[#This Row],[Hire_Date]],IF(Table1[[#This Row],[Employment_Status]]="Exited",Table1[[#This Row],[Exit_Date]],TODAY()))</f>
        <v>3.2083333333333335</v>
      </c>
      <c r="S25" t="str" cm="1">
        <f t="array" aca="1" ref="S25" ca="1">_xlfn.IFS(AND(Table1[[#This Row],[Tenure]]&gt;=0,Table1[[#This Row],[Tenure]]&lt;=1),"0-1",AND(Table1[[#This Row],[Tenure]]&gt;1,Table1[[#This Row],[Tenure]]&lt;=3),"1-3",AND(Table1[[#This Row],[Tenure]]&gt;3,Table1[[#This Row],[Tenure]]&lt;=5),"3-5",AND(Table1[[#This Row],[Tenure]]&gt;5,Table1[[#This Row],[Tenure]]&lt;=8),"5-8")</f>
        <v>3-5</v>
      </c>
      <c r="T25" t="str" cm="1">
        <f t="array" ref="T25">_xlfn.IFS(AND(Table1[[#This Row],[Salary]]&gt;=180000, Table1[[#This Row],[Salary]] &lt;=500000),"Low (180k-500k)", AND(Table1[[#This Row],[Salary]]&gt;500000, Table1[[#This Row],[Salary]]&lt;=800000), "Medium (501k-800k)", AND(Table1[[#This Row],[Salary]]&gt;800000, Table1[[#This Row],[Salary]]&lt;1200000), "High (801k - 1.2m)")</f>
        <v>Low (180k-500k)</v>
      </c>
    </row>
    <row r="26" spans="1:20" x14ac:dyDescent="0.2">
      <c r="A26">
        <v>25</v>
      </c>
      <c r="B26" t="s">
        <v>26</v>
      </c>
      <c r="C26" t="s">
        <v>20</v>
      </c>
      <c r="D26">
        <v>50</v>
      </c>
      <c r="E26" t="s">
        <v>61</v>
      </c>
      <c r="F26" t="s">
        <v>34</v>
      </c>
      <c r="G26">
        <v>341835</v>
      </c>
      <c r="H26" t="s">
        <v>62</v>
      </c>
      <c r="J26" t="s">
        <v>18</v>
      </c>
      <c r="K26">
        <v>4</v>
      </c>
      <c r="L26">
        <v>6</v>
      </c>
      <c r="M26">
        <v>74</v>
      </c>
      <c r="N26">
        <f>IF(Table1[[#This Row],[Employment_Status]]="Exited",1,0)</f>
        <v>0</v>
      </c>
      <c r="O26" t="str" cm="1">
        <f t="array" ref="O26">_xlfn.IFS(AND(Table1[[#This Row],[Age]]&gt;=22,Table1[[#This Row],[Age]]&lt;=35),"22-35",AND(Table1[[#This Row],[Age]]&gt;=36,Table1[[#This Row],[Age]]&lt;=45),"36-45",AND(Table1[[#This Row],[Age]]&gt;=46,Table1[[#This Row],[Age]]&lt;=55),"46-55")</f>
        <v>46-55</v>
      </c>
      <c r="P26">
        <f>IF(Table1[[#This Row],[Employment_Status]]="active",1,0)</f>
        <v>1</v>
      </c>
      <c r="Q26">
        <v>1</v>
      </c>
      <c r="R26" s="6">
        <f ca="1">YEARFRAC(Table1[[#This Row],[Hire_Date]],IF(Table1[[#This Row],[Employment_Status]]="Exited",Table1[[#This Row],[Exit_Date]],TODAY()))</f>
        <v>5.9638888888888886</v>
      </c>
      <c r="S26" t="str" cm="1">
        <f t="array" aca="1" ref="S26" ca="1">_xlfn.IFS(AND(Table1[[#This Row],[Tenure]]&gt;=0,Table1[[#This Row],[Tenure]]&lt;=1),"0-1",AND(Table1[[#This Row],[Tenure]]&gt;1,Table1[[#This Row],[Tenure]]&lt;=3),"1-3",AND(Table1[[#This Row],[Tenure]]&gt;3,Table1[[#This Row],[Tenure]]&lt;=5),"3-5",AND(Table1[[#This Row],[Tenure]]&gt;5,Table1[[#This Row],[Tenure]]&lt;=8),"5-8")</f>
        <v>5-8</v>
      </c>
      <c r="T26" t="str" cm="1">
        <f t="array" ref="T26">_xlfn.IFS(AND(Table1[[#This Row],[Salary]]&gt;=180000, Table1[[#This Row],[Salary]] &lt;=500000),"Low (180k-500k)", AND(Table1[[#This Row],[Salary]]&gt;500000, Table1[[#This Row],[Salary]]&lt;=800000), "Medium (501k-800k)", AND(Table1[[#This Row],[Salary]]&gt;800000, Table1[[#This Row],[Salary]]&lt;1200000), "High (801k - 1.2m)")</f>
        <v>Low (180k-500k)</v>
      </c>
    </row>
    <row r="27" spans="1:20" x14ac:dyDescent="0.2">
      <c r="A27">
        <v>26</v>
      </c>
      <c r="B27" t="s">
        <v>58</v>
      </c>
      <c r="C27" t="s">
        <v>14</v>
      </c>
      <c r="D27">
        <v>53</v>
      </c>
      <c r="E27" t="s">
        <v>49</v>
      </c>
      <c r="F27" t="s">
        <v>16</v>
      </c>
      <c r="G27">
        <v>476203</v>
      </c>
      <c r="H27" t="s">
        <v>63</v>
      </c>
      <c r="J27" t="s">
        <v>18</v>
      </c>
      <c r="K27">
        <v>5</v>
      </c>
      <c r="L27">
        <v>37</v>
      </c>
      <c r="M27">
        <v>70</v>
      </c>
      <c r="N27">
        <f>IF(Table1[[#This Row],[Employment_Status]]="Exited",1,0)</f>
        <v>0</v>
      </c>
      <c r="O27" t="str" cm="1">
        <f t="array" ref="O27">_xlfn.IFS(AND(Table1[[#This Row],[Age]]&gt;=22,Table1[[#This Row],[Age]]&lt;=35),"22-35",AND(Table1[[#This Row],[Age]]&gt;=36,Table1[[#This Row],[Age]]&lt;=45),"36-45",AND(Table1[[#This Row],[Age]]&gt;=46,Table1[[#This Row],[Age]]&lt;=55),"46-55")</f>
        <v>46-55</v>
      </c>
      <c r="P27">
        <f>IF(Table1[[#This Row],[Employment_Status]]="active",1,0)</f>
        <v>1</v>
      </c>
      <c r="Q27">
        <v>1</v>
      </c>
      <c r="R27" s="6">
        <f ca="1">YEARFRAC(Table1[[#This Row],[Hire_Date]],IF(Table1[[#This Row],[Employment_Status]]="Exited",Table1[[#This Row],[Exit_Date]],TODAY()))</f>
        <v>5.4888888888888889</v>
      </c>
      <c r="S27" t="str" cm="1">
        <f t="array" aca="1" ref="S27" ca="1">_xlfn.IFS(AND(Table1[[#This Row],[Tenure]]&gt;=0,Table1[[#This Row],[Tenure]]&lt;=1),"0-1",AND(Table1[[#This Row],[Tenure]]&gt;1,Table1[[#This Row],[Tenure]]&lt;=3),"1-3",AND(Table1[[#This Row],[Tenure]]&gt;3,Table1[[#This Row],[Tenure]]&lt;=5),"3-5",AND(Table1[[#This Row],[Tenure]]&gt;5,Table1[[#This Row],[Tenure]]&lt;=8),"5-8")</f>
        <v>5-8</v>
      </c>
      <c r="T27" t="str" cm="1">
        <f t="array" ref="T27">_xlfn.IFS(AND(Table1[[#This Row],[Salary]]&gt;=180000, Table1[[#This Row],[Salary]] &lt;=500000),"Low (180k-500k)", AND(Table1[[#This Row],[Salary]]&gt;500000, Table1[[#This Row],[Salary]]&lt;=800000), "Medium (501k-800k)", AND(Table1[[#This Row],[Salary]]&gt;800000, Table1[[#This Row],[Salary]]&lt;1200000), "High (801k - 1.2m)")</f>
        <v>Low (180k-500k)</v>
      </c>
    </row>
    <row r="28" spans="1:20" x14ac:dyDescent="0.2">
      <c r="A28">
        <v>27</v>
      </c>
      <c r="B28" t="s">
        <v>24</v>
      </c>
      <c r="C28" t="s">
        <v>14</v>
      </c>
      <c r="D28">
        <v>42</v>
      </c>
      <c r="E28" t="s">
        <v>15</v>
      </c>
      <c r="F28" t="s">
        <v>34</v>
      </c>
      <c r="G28">
        <v>724967</v>
      </c>
      <c r="H28" t="s">
        <v>64</v>
      </c>
      <c r="J28" t="s">
        <v>18</v>
      </c>
      <c r="K28">
        <v>4</v>
      </c>
      <c r="L28">
        <v>40</v>
      </c>
      <c r="M28">
        <v>78</v>
      </c>
      <c r="N28">
        <f>IF(Table1[[#This Row],[Employment_Status]]="Exited",1,0)</f>
        <v>0</v>
      </c>
      <c r="O28" t="str" cm="1">
        <f t="array" ref="O28">_xlfn.IFS(AND(Table1[[#This Row],[Age]]&gt;=22,Table1[[#This Row],[Age]]&lt;=35),"22-35",AND(Table1[[#This Row],[Age]]&gt;=36,Table1[[#This Row],[Age]]&lt;=45),"36-45",AND(Table1[[#This Row],[Age]]&gt;=46,Table1[[#This Row],[Age]]&lt;=55),"46-55")</f>
        <v>36-45</v>
      </c>
      <c r="P28">
        <f>IF(Table1[[#This Row],[Employment_Status]]="active",1,0)</f>
        <v>1</v>
      </c>
      <c r="Q28">
        <v>1</v>
      </c>
      <c r="R28" s="6">
        <f ca="1">YEARFRAC(Table1[[#This Row],[Hire_Date]],IF(Table1[[#This Row],[Employment_Status]]="Exited",Table1[[#This Row],[Exit_Date]],TODAY()))</f>
        <v>5.5138888888888893</v>
      </c>
      <c r="S28" t="str" cm="1">
        <f t="array" aca="1" ref="S28" ca="1">_xlfn.IFS(AND(Table1[[#This Row],[Tenure]]&gt;=0,Table1[[#This Row],[Tenure]]&lt;=1),"0-1",AND(Table1[[#This Row],[Tenure]]&gt;1,Table1[[#This Row],[Tenure]]&lt;=3),"1-3",AND(Table1[[#This Row],[Tenure]]&gt;3,Table1[[#This Row],[Tenure]]&lt;=5),"3-5",AND(Table1[[#This Row],[Tenure]]&gt;5,Table1[[#This Row],[Tenure]]&lt;=8),"5-8")</f>
        <v>5-8</v>
      </c>
      <c r="T28" t="str" cm="1">
        <f t="array" ref="T28">_xlfn.IFS(AND(Table1[[#This Row],[Salary]]&gt;=180000, Table1[[#This Row],[Salary]] &lt;=500000),"Low (180k-500k)", AND(Table1[[#This Row],[Salary]]&gt;500000, Table1[[#This Row],[Salary]]&lt;=800000), "Medium (501k-800k)", AND(Table1[[#This Row],[Salary]]&gt;800000, Table1[[#This Row],[Salary]]&lt;1200000), "High (801k - 1.2m)")</f>
        <v>Medium (501k-800k)</v>
      </c>
    </row>
    <row r="29" spans="1:20" x14ac:dyDescent="0.2">
      <c r="A29">
        <v>28</v>
      </c>
      <c r="B29" t="s">
        <v>26</v>
      </c>
      <c r="C29" t="s">
        <v>14</v>
      </c>
      <c r="D29">
        <v>39</v>
      </c>
      <c r="E29" t="s">
        <v>15</v>
      </c>
      <c r="F29" t="s">
        <v>16</v>
      </c>
      <c r="G29">
        <v>922681</v>
      </c>
      <c r="H29" t="s">
        <v>65</v>
      </c>
      <c r="I29" t="s">
        <v>66</v>
      </c>
      <c r="J29" t="s">
        <v>55</v>
      </c>
      <c r="K29">
        <v>3</v>
      </c>
      <c r="L29">
        <v>39</v>
      </c>
      <c r="M29">
        <v>66</v>
      </c>
      <c r="N29">
        <f>IF(Table1[[#This Row],[Employment_Status]]="Exited",1,0)</f>
        <v>1</v>
      </c>
      <c r="O29" t="str" cm="1">
        <f t="array" ref="O29">_xlfn.IFS(AND(Table1[[#This Row],[Age]]&gt;=22,Table1[[#This Row],[Age]]&lt;=35),"22-35",AND(Table1[[#This Row],[Age]]&gt;=36,Table1[[#This Row],[Age]]&lt;=45),"36-45",AND(Table1[[#This Row],[Age]]&gt;=46,Table1[[#This Row],[Age]]&lt;=55),"46-55")</f>
        <v>36-45</v>
      </c>
      <c r="P29">
        <f>IF(Table1[[#This Row],[Employment_Status]]="active",1,0)</f>
        <v>0</v>
      </c>
      <c r="Q29">
        <v>1</v>
      </c>
      <c r="R29" s="6">
        <f ca="1">YEARFRAC(Table1[[#This Row],[Hire_Date]],IF(Table1[[#This Row],[Employment_Status]]="Exited",Table1[[#This Row],[Exit_Date]],TODAY()))</f>
        <v>1.9444444444444444</v>
      </c>
      <c r="S29" t="str" cm="1">
        <f t="array" aca="1" ref="S29" ca="1">_xlfn.IFS(AND(Table1[[#This Row],[Tenure]]&gt;=0,Table1[[#This Row],[Tenure]]&lt;=1),"0-1",AND(Table1[[#This Row],[Tenure]]&gt;1,Table1[[#This Row],[Tenure]]&lt;=3),"1-3",AND(Table1[[#This Row],[Tenure]]&gt;3,Table1[[#This Row],[Tenure]]&lt;=5),"3-5",AND(Table1[[#This Row],[Tenure]]&gt;5,Table1[[#This Row],[Tenure]]&lt;=8),"5-8")</f>
        <v>1-3</v>
      </c>
      <c r="T29" t="str" cm="1">
        <f t="array" ref="T29">_xlfn.IFS(AND(Table1[[#This Row],[Salary]]&gt;=180000, Table1[[#This Row],[Salary]] &lt;=500000),"Low (180k-500k)", AND(Table1[[#This Row],[Salary]]&gt;500000, Table1[[#This Row],[Salary]]&lt;=800000), "Medium (501k-800k)", AND(Table1[[#This Row],[Salary]]&gt;800000, Table1[[#This Row],[Salary]]&lt;1200000), "High (801k - 1.2m)")</f>
        <v>High (801k - 1.2m)</v>
      </c>
    </row>
    <row r="30" spans="1:20" x14ac:dyDescent="0.2">
      <c r="A30">
        <v>29</v>
      </c>
      <c r="B30" t="s">
        <v>26</v>
      </c>
      <c r="C30" t="s">
        <v>20</v>
      </c>
      <c r="D30">
        <v>39</v>
      </c>
      <c r="E30" t="s">
        <v>45</v>
      </c>
      <c r="F30" t="s">
        <v>34</v>
      </c>
      <c r="G30">
        <v>254869</v>
      </c>
      <c r="H30" t="s">
        <v>67</v>
      </c>
      <c r="J30" t="s">
        <v>18</v>
      </c>
      <c r="K30">
        <v>3</v>
      </c>
      <c r="L30">
        <v>43</v>
      </c>
      <c r="M30">
        <v>70</v>
      </c>
      <c r="N30">
        <f>IF(Table1[[#This Row],[Employment_Status]]="Exited",1,0)</f>
        <v>0</v>
      </c>
      <c r="O30" t="str" cm="1">
        <f t="array" ref="O30">_xlfn.IFS(AND(Table1[[#This Row],[Age]]&gt;=22,Table1[[#This Row],[Age]]&lt;=35),"22-35",AND(Table1[[#This Row],[Age]]&gt;=36,Table1[[#This Row],[Age]]&lt;=45),"36-45",AND(Table1[[#This Row],[Age]]&gt;=46,Table1[[#This Row],[Age]]&lt;=55),"46-55")</f>
        <v>36-45</v>
      </c>
      <c r="P30">
        <f>IF(Table1[[#This Row],[Employment_Status]]="active",1,0)</f>
        <v>1</v>
      </c>
      <c r="Q30">
        <v>1</v>
      </c>
      <c r="R30" s="6">
        <f ca="1">YEARFRAC(Table1[[#This Row],[Hire_Date]],IF(Table1[[#This Row],[Employment_Status]]="Exited",Table1[[#This Row],[Exit_Date]],TODAY()))</f>
        <v>3.7333333333333334</v>
      </c>
      <c r="S30" t="str" cm="1">
        <f t="array" aca="1" ref="S30" ca="1">_xlfn.IFS(AND(Table1[[#This Row],[Tenure]]&gt;=0,Table1[[#This Row],[Tenure]]&lt;=1),"0-1",AND(Table1[[#This Row],[Tenure]]&gt;1,Table1[[#This Row],[Tenure]]&lt;=3),"1-3",AND(Table1[[#This Row],[Tenure]]&gt;3,Table1[[#This Row],[Tenure]]&lt;=5),"3-5",AND(Table1[[#This Row],[Tenure]]&gt;5,Table1[[#This Row],[Tenure]]&lt;=8),"5-8")</f>
        <v>3-5</v>
      </c>
      <c r="T30" t="str" cm="1">
        <f t="array" ref="T30">_xlfn.IFS(AND(Table1[[#This Row],[Salary]]&gt;=180000, Table1[[#This Row],[Salary]] &lt;=500000),"Low (180k-500k)", AND(Table1[[#This Row],[Salary]]&gt;500000, Table1[[#This Row],[Salary]]&lt;=800000), "Medium (501k-800k)", AND(Table1[[#This Row],[Salary]]&gt;800000, Table1[[#This Row],[Salary]]&lt;1200000), "High (801k - 1.2m)")</f>
        <v>Low (180k-500k)</v>
      </c>
    </row>
    <row r="31" spans="1:20" x14ac:dyDescent="0.2">
      <c r="A31">
        <v>30</v>
      </c>
      <c r="B31" t="s">
        <v>36</v>
      </c>
      <c r="C31" t="s">
        <v>14</v>
      </c>
      <c r="D31">
        <v>51</v>
      </c>
      <c r="E31" t="s">
        <v>21</v>
      </c>
      <c r="F31" t="s">
        <v>22</v>
      </c>
      <c r="G31">
        <v>306186</v>
      </c>
      <c r="H31" t="s">
        <v>68</v>
      </c>
      <c r="I31" t="s">
        <v>69</v>
      </c>
      <c r="J31" t="s">
        <v>55</v>
      </c>
      <c r="K31">
        <v>4</v>
      </c>
      <c r="L31">
        <v>47</v>
      </c>
      <c r="M31">
        <v>81</v>
      </c>
      <c r="N31">
        <f>IF(Table1[[#This Row],[Employment_Status]]="Exited",1,0)</f>
        <v>1</v>
      </c>
      <c r="O31" t="str" cm="1">
        <f t="array" ref="O31">_xlfn.IFS(AND(Table1[[#This Row],[Age]]&gt;=22,Table1[[#This Row],[Age]]&lt;=35),"22-35",AND(Table1[[#This Row],[Age]]&gt;=36,Table1[[#This Row],[Age]]&lt;=45),"36-45",AND(Table1[[#This Row],[Age]]&gt;=46,Table1[[#This Row],[Age]]&lt;=55),"46-55")</f>
        <v>46-55</v>
      </c>
      <c r="P31">
        <f>IF(Table1[[#This Row],[Employment_Status]]="active",1,0)</f>
        <v>0</v>
      </c>
      <c r="Q31">
        <v>1</v>
      </c>
      <c r="R31" s="6">
        <f ca="1">YEARFRAC(Table1[[#This Row],[Hire_Date]],IF(Table1[[#This Row],[Employment_Status]]="Exited",Table1[[#This Row],[Exit_Date]],TODAY()))</f>
        <v>3.2277777777777779</v>
      </c>
      <c r="S31" t="str" cm="1">
        <f t="array" aca="1" ref="S31" ca="1">_xlfn.IFS(AND(Table1[[#This Row],[Tenure]]&gt;=0,Table1[[#This Row],[Tenure]]&lt;=1),"0-1",AND(Table1[[#This Row],[Tenure]]&gt;1,Table1[[#This Row],[Tenure]]&lt;=3),"1-3",AND(Table1[[#This Row],[Tenure]]&gt;3,Table1[[#This Row],[Tenure]]&lt;=5),"3-5",AND(Table1[[#This Row],[Tenure]]&gt;5,Table1[[#This Row],[Tenure]]&lt;=8),"5-8")</f>
        <v>3-5</v>
      </c>
      <c r="T31" t="str" cm="1">
        <f t="array" ref="T31">_xlfn.IFS(AND(Table1[[#This Row],[Salary]]&gt;=180000, Table1[[#This Row],[Salary]] &lt;=500000),"Low (180k-500k)", AND(Table1[[#This Row],[Salary]]&gt;500000, Table1[[#This Row],[Salary]]&lt;=800000), "Medium (501k-800k)", AND(Table1[[#This Row],[Salary]]&gt;800000, Table1[[#This Row],[Salary]]&lt;1200000), "High (801k - 1.2m)")</f>
        <v>Low (180k-500k)</v>
      </c>
    </row>
    <row r="32" spans="1:20" x14ac:dyDescent="0.2">
      <c r="A32">
        <v>31</v>
      </c>
      <c r="B32" t="s">
        <v>33</v>
      </c>
      <c r="C32" t="s">
        <v>20</v>
      </c>
      <c r="D32">
        <v>51</v>
      </c>
      <c r="E32" t="s">
        <v>15</v>
      </c>
      <c r="F32" t="s">
        <v>27</v>
      </c>
      <c r="G32">
        <v>521479</v>
      </c>
      <c r="H32" t="s">
        <v>70</v>
      </c>
      <c r="J32" t="s">
        <v>18</v>
      </c>
      <c r="K32">
        <v>3</v>
      </c>
      <c r="L32">
        <v>3</v>
      </c>
      <c r="M32">
        <v>75</v>
      </c>
      <c r="N32">
        <f>IF(Table1[[#This Row],[Employment_Status]]="Exited",1,0)</f>
        <v>0</v>
      </c>
      <c r="O32" t="str" cm="1">
        <f t="array" ref="O32">_xlfn.IFS(AND(Table1[[#This Row],[Age]]&gt;=22,Table1[[#This Row],[Age]]&lt;=35),"22-35",AND(Table1[[#This Row],[Age]]&gt;=36,Table1[[#This Row],[Age]]&lt;=45),"36-45",AND(Table1[[#This Row],[Age]]&gt;=46,Table1[[#This Row],[Age]]&lt;=55),"46-55")</f>
        <v>46-55</v>
      </c>
      <c r="P32">
        <f>IF(Table1[[#This Row],[Employment_Status]]="active",1,0)</f>
        <v>1</v>
      </c>
      <c r="Q32">
        <v>1</v>
      </c>
      <c r="R32" s="6">
        <f ca="1">YEARFRAC(Table1[[#This Row],[Hire_Date]],IF(Table1[[#This Row],[Employment_Status]]="Exited",Table1[[#This Row],[Exit_Date]],TODAY()))</f>
        <v>5.3555555555555552</v>
      </c>
      <c r="S32" t="str" cm="1">
        <f t="array" aca="1" ref="S32" ca="1">_xlfn.IFS(AND(Table1[[#This Row],[Tenure]]&gt;=0,Table1[[#This Row],[Tenure]]&lt;=1),"0-1",AND(Table1[[#This Row],[Tenure]]&gt;1,Table1[[#This Row],[Tenure]]&lt;=3),"1-3",AND(Table1[[#This Row],[Tenure]]&gt;3,Table1[[#This Row],[Tenure]]&lt;=5),"3-5",AND(Table1[[#This Row],[Tenure]]&gt;5,Table1[[#This Row],[Tenure]]&lt;=8),"5-8")</f>
        <v>5-8</v>
      </c>
      <c r="T32" t="str" cm="1">
        <f t="array" ref="T32">_xlfn.IFS(AND(Table1[[#This Row],[Salary]]&gt;=180000, Table1[[#This Row],[Salary]] &lt;=500000),"Low (180k-500k)", AND(Table1[[#This Row],[Salary]]&gt;500000, Table1[[#This Row],[Salary]]&lt;=800000), "Medium (501k-800k)", AND(Table1[[#This Row],[Salary]]&gt;800000, Table1[[#This Row],[Salary]]&lt;1200000), "High (801k - 1.2m)")</f>
        <v>Medium (501k-800k)</v>
      </c>
    </row>
    <row r="33" spans="1:20" x14ac:dyDescent="0.2">
      <c r="A33">
        <v>32</v>
      </c>
      <c r="B33" t="s">
        <v>47</v>
      </c>
      <c r="C33" t="s">
        <v>20</v>
      </c>
      <c r="D33">
        <v>43</v>
      </c>
      <c r="E33" t="s">
        <v>49</v>
      </c>
      <c r="F33" t="s">
        <v>27</v>
      </c>
      <c r="G33">
        <v>364522</v>
      </c>
      <c r="H33" t="s">
        <v>71</v>
      </c>
      <c r="J33" t="s">
        <v>18</v>
      </c>
      <c r="K33">
        <v>4</v>
      </c>
      <c r="L33">
        <v>34</v>
      </c>
      <c r="M33">
        <v>98</v>
      </c>
      <c r="N33">
        <f>IF(Table1[[#This Row],[Employment_Status]]="Exited",1,0)</f>
        <v>0</v>
      </c>
      <c r="O33" t="str" cm="1">
        <f t="array" ref="O33">_xlfn.IFS(AND(Table1[[#This Row],[Age]]&gt;=22,Table1[[#This Row],[Age]]&lt;=35),"22-35",AND(Table1[[#This Row],[Age]]&gt;=36,Table1[[#This Row],[Age]]&lt;=45),"36-45",AND(Table1[[#This Row],[Age]]&gt;=46,Table1[[#This Row],[Age]]&lt;=55),"46-55")</f>
        <v>36-45</v>
      </c>
      <c r="P33">
        <f>IF(Table1[[#This Row],[Employment_Status]]="active",1,0)</f>
        <v>1</v>
      </c>
      <c r="Q33">
        <v>1</v>
      </c>
      <c r="R33" s="6">
        <f ca="1">YEARFRAC(Table1[[#This Row],[Hire_Date]],IF(Table1[[#This Row],[Employment_Status]]="Exited",Table1[[#This Row],[Exit_Date]],TODAY()))</f>
        <v>6.8194444444444446</v>
      </c>
      <c r="S33" t="str" cm="1">
        <f t="array" aca="1" ref="S33" ca="1">_xlfn.IFS(AND(Table1[[#This Row],[Tenure]]&gt;=0,Table1[[#This Row],[Tenure]]&lt;=1),"0-1",AND(Table1[[#This Row],[Tenure]]&gt;1,Table1[[#This Row],[Tenure]]&lt;=3),"1-3",AND(Table1[[#This Row],[Tenure]]&gt;3,Table1[[#This Row],[Tenure]]&lt;=5),"3-5",AND(Table1[[#This Row],[Tenure]]&gt;5,Table1[[#This Row],[Tenure]]&lt;=8),"5-8")</f>
        <v>5-8</v>
      </c>
      <c r="T33" t="str" cm="1">
        <f t="array" ref="T33">_xlfn.IFS(AND(Table1[[#This Row],[Salary]]&gt;=180000, Table1[[#This Row],[Salary]] &lt;=500000),"Low (180k-500k)", AND(Table1[[#This Row],[Salary]]&gt;500000, Table1[[#This Row],[Salary]]&lt;=800000), "Medium (501k-800k)", AND(Table1[[#This Row],[Salary]]&gt;800000, Table1[[#This Row],[Salary]]&lt;1200000), "High (801k - 1.2m)")</f>
        <v>Low (180k-500k)</v>
      </c>
    </row>
    <row r="34" spans="1:20" x14ac:dyDescent="0.2">
      <c r="A34">
        <v>33</v>
      </c>
      <c r="B34" t="s">
        <v>19</v>
      </c>
      <c r="C34" t="s">
        <v>14</v>
      </c>
      <c r="D34">
        <v>47</v>
      </c>
      <c r="E34" t="s">
        <v>15</v>
      </c>
      <c r="F34" t="s">
        <v>16</v>
      </c>
      <c r="G34">
        <v>593915</v>
      </c>
      <c r="H34" t="s">
        <v>72</v>
      </c>
      <c r="J34" t="s">
        <v>18</v>
      </c>
      <c r="K34">
        <v>3</v>
      </c>
      <c r="L34">
        <v>5</v>
      </c>
      <c r="M34">
        <v>74</v>
      </c>
      <c r="N34">
        <f>IF(Table1[[#This Row],[Employment_Status]]="Exited",1,0)</f>
        <v>0</v>
      </c>
      <c r="O34" t="str" cm="1">
        <f t="array" ref="O34">_xlfn.IFS(AND(Table1[[#This Row],[Age]]&gt;=22,Table1[[#This Row],[Age]]&lt;=35),"22-35",AND(Table1[[#This Row],[Age]]&gt;=36,Table1[[#This Row],[Age]]&lt;=45),"36-45",AND(Table1[[#This Row],[Age]]&gt;=46,Table1[[#This Row],[Age]]&lt;=55),"46-55")</f>
        <v>46-55</v>
      </c>
      <c r="P34">
        <f>IF(Table1[[#This Row],[Employment_Status]]="active",1,0)</f>
        <v>1</v>
      </c>
      <c r="Q34">
        <v>1</v>
      </c>
      <c r="R34" s="6">
        <f ca="1">YEARFRAC(Table1[[#This Row],[Hire_Date]],IF(Table1[[#This Row],[Employment_Status]]="Exited",Table1[[#This Row],[Exit_Date]],TODAY()))</f>
        <v>4.916666666666667</v>
      </c>
      <c r="S34" t="str" cm="1">
        <f t="array" aca="1" ref="S34" ca="1">_xlfn.IFS(AND(Table1[[#This Row],[Tenure]]&gt;=0,Table1[[#This Row],[Tenure]]&lt;=1),"0-1",AND(Table1[[#This Row],[Tenure]]&gt;1,Table1[[#This Row],[Tenure]]&lt;=3),"1-3",AND(Table1[[#This Row],[Tenure]]&gt;3,Table1[[#This Row],[Tenure]]&lt;=5),"3-5",AND(Table1[[#This Row],[Tenure]]&gt;5,Table1[[#This Row],[Tenure]]&lt;=8),"5-8")</f>
        <v>3-5</v>
      </c>
      <c r="T34" t="str" cm="1">
        <f t="array" ref="T34">_xlfn.IFS(AND(Table1[[#This Row],[Salary]]&gt;=180000, Table1[[#This Row],[Salary]] &lt;=500000),"Low (180k-500k)", AND(Table1[[#This Row],[Salary]]&gt;500000, Table1[[#This Row],[Salary]]&lt;=800000), "Medium (501k-800k)", AND(Table1[[#This Row],[Salary]]&gt;800000, Table1[[#This Row],[Salary]]&lt;1200000), "High (801k - 1.2m)")</f>
        <v>Medium (501k-800k)</v>
      </c>
    </row>
    <row r="35" spans="1:20" x14ac:dyDescent="0.2">
      <c r="A35">
        <v>34</v>
      </c>
      <c r="B35" t="s">
        <v>19</v>
      </c>
      <c r="C35" t="s">
        <v>14</v>
      </c>
      <c r="D35">
        <v>39</v>
      </c>
      <c r="E35" t="s">
        <v>45</v>
      </c>
      <c r="F35" t="s">
        <v>16</v>
      </c>
      <c r="G35">
        <v>295182</v>
      </c>
      <c r="H35" t="s">
        <v>73</v>
      </c>
      <c r="J35" t="s">
        <v>18</v>
      </c>
      <c r="K35">
        <v>3</v>
      </c>
      <c r="L35">
        <v>20</v>
      </c>
      <c r="M35">
        <v>75</v>
      </c>
      <c r="N35">
        <f>IF(Table1[[#This Row],[Employment_Status]]="Exited",1,0)</f>
        <v>0</v>
      </c>
      <c r="O35" t="str" cm="1">
        <f t="array" ref="O35">_xlfn.IFS(AND(Table1[[#This Row],[Age]]&gt;=22,Table1[[#This Row],[Age]]&lt;=35),"22-35",AND(Table1[[#This Row],[Age]]&gt;=36,Table1[[#This Row],[Age]]&lt;=45),"36-45",AND(Table1[[#This Row],[Age]]&gt;=46,Table1[[#This Row],[Age]]&lt;=55),"46-55")</f>
        <v>36-45</v>
      </c>
      <c r="P35">
        <f>IF(Table1[[#This Row],[Employment_Status]]="active",1,0)</f>
        <v>1</v>
      </c>
      <c r="Q35">
        <v>1</v>
      </c>
      <c r="R35" s="6">
        <f ca="1">YEARFRAC(Table1[[#This Row],[Hire_Date]],IF(Table1[[#This Row],[Employment_Status]]="Exited",Table1[[#This Row],[Exit_Date]],TODAY()))</f>
        <v>4.8666666666666663</v>
      </c>
      <c r="S35" t="str" cm="1">
        <f t="array" aca="1" ref="S35" ca="1">_xlfn.IFS(AND(Table1[[#This Row],[Tenure]]&gt;=0,Table1[[#This Row],[Tenure]]&lt;=1),"0-1",AND(Table1[[#This Row],[Tenure]]&gt;1,Table1[[#This Row],[Tenure]]&lt;=3),"1-3",AND(Table1[[#This Row],[Tenure]]&gt;3,Table1[[#This Row],[Tenure]]&lt;=5),"3-5",AND(Table1[[#This Row],[Tenure]]&gt;5,Table1[[#This Row],[Tenure]]&lt;=8),"5-8")</f>
        <v>3-5</v>
      </c>
      <c r="T35" t="str" cm="1">
        <f t="array" ref="T35">_xlfn.IFS(AND(Table1[[#This Row],[Salary]]&gt;=180000, Table1[[#This Row],[Salary]] &lt;=500000),"Low (180k-500k)", AND(Table1[[#This Row],[Salary]]&gt;500000, Table1[[#This Row],[Salary]]&lt;=800000), "Medium (501k-800k)", AND(Table1[[#This Row],[Salary]]&gt;800000, Table1[[#This Row],[Salary]]&lt;1200000), "High (801k - 1.2m)")</f>
        <v>Low (180k-500k)</v>
      </c>
    </row>
    <row r="36" spans="1:20" x14ac:dyDescent="0.2">
      <c r="A36">
        <v>35</v>
      </c>
      <c r="B36" t="s">
        <v>40</v>
      </c>
      <c r="C36" t="s">
        <v>14</v>
      </c>
      <c r="D36">
        <v>36</v>
      </c>
      <c r="E36" t="s">
        <v>45</v>
      </c>
      <c r="F36" t="s">
        <v>22</v>
      </c>
      <c r="G36">
        <v>317403</v>
      </c>
      <c r="H36" t="s">
        <v>74</v>
      </c>
      <c r="J36" t="s">
        <v>18</v>
      </c>
      <c r="K36">
        <v>2</v>
      </c>
      <c r="L36">
        <v>3</v>
      </c>
      <c r="M36">
        <v>76</v>
      </c>
      <c r="N36">
        <f>IF(Table1[[#This Row],[Employment_Status]]="Exited",1,0)</f>
        <v>0</v>
      </c>
      <c r="O36" t="str" cm="1">
        <f t="array" ref="O36">_xlfn.IFS(AND(Table1[[#This Row],[Age]]&gt;=22,Table1[[#This Row],[Age]]&lt;=35),"22-35",AND(Table1[[#This Row],[Age]]&gt;=36,Table1[[#This Row],[Age]]&lt;=45),"36-45",AND(Table1[[#This Row],[Age]]&gt;=46,Table1[[#This Row],[Age]]&lt;=55),"46-55")</f>
        <v>36-45</v>
      </c>
      <c r="P36">
        <f>IF(Table1[[#This Row],[Employment_Status]]="active",1,0)</f>
        <v>1</v>
      </c>
      <c r="Q36">
        <v>1</v>
      </c>
      <c r="R36" s="6">
        <f ca="1">YEARFRAC(Table1[[#This Row],[Hire_Date]],IF(Table1[[#This Row],[Employment_Status]]="Exited",Table1[[#This Row],[Exit_Date]],TODAY()))</f>
        <v>3.1194444444444445</v>
      </c>
      <c r="S36" t="str" cm="1">
        <f t="array" aca="1" ref="S36" ca="1">_xlfn.IFS(AND(Table1[[#This Row],[Tenure]]&gt;=0,Table1[[#This Row],[Tenure]]&lt;=1),"0-1",AND(Table1[[#This Row],[Tenure]]&gt;1,Table1[[#This Row],[Tenure]]&lt;=3),"1-3",AND(Table1[[#This Row],[Tenure]]&gt;3,Table1[[#This Row],[Tenure]]&lt;=5),"3-5",AND(Table1[[#This Row],[Tenure]]&gt;5,Table1[[#This Row],[Tenure]]&lt;=8),"5-8")</f>
        <v>3-5</v>
      </c>
      <c r="T36" t="str" cm="1">
        <f t="array" ref="T36">_xlfn.IFS(AND(Table1[[#This Row],[Salary]]&gt;=180000, Table1[[#This Row],[Salary]] &lt;=500000),"Low (180k-500k)", AND(Table1[[#This Row],[Salary]]&gt;500000, Table1[[#This Row],[Salary]]&lt;=800000), "Medium (501k-800k)", AND(Table1[[#This Row],[Salary]]&gt;800000, Table1[[#This Row],[Salary]]&lt;1200000), "High (801k - 1.2m)")</f>
        <v>Low (180k-500k)</v>
      </c>
    </row>
    <row r="37" spans="1:20" x14ac:dyDescent="0.2">
      <c r="A37">
        <v>36</v>
      </c>
      <c r="B37" t="s">
        <v>75</v>
      </c>
      <c r="C37" t="s">
        <v>14</v>
      </c>
      <c r="D37">
        <v>26</v>
      </c>
      <c r="E37" t="s">
        <v>15</v>
      </c>
      <c r="F37" t="s">
        <v>27</v>
      </c>
      <c r="G37">
        <v>1049669</v>
      </c>
      <c r="H37" t="s">
        <v>76</v>
      </c>
      <c r="J37" t="s">
        <v>18</v>
      </c>
      <c r="K37">
        <v>4</v>
      </c>
      <c r="L37">
        <v>40</v>
      </c>
      <c r="M37">
        <v>82</v>
      </c>
      <c r="N37">
        <f>IF(Table1[[#This Row],[Employment_Status]]="Exited",1,0)</f>
        <v>0</v>
      </c>
      <c r="O37" t="str" cm="1">
        <f t="array" ref="O37">_xlfn.IFS(AND(Table1[[#This Row],[Age]]&gt;=22,Table1[[#This Row],[Age]]&lt;=35),"22-35",AND(Table1[[#This Row],[Age]]&gt;=36,Table1[[#This Row],[Age]]&lt;=45),"36-45",AND(Table1[[#This Row],[Age]]&gt;=46,Table1[[#This Row],[Age]]&lt;=55),"46-55")</f>
        <v>22-35</v>
      </c>
      <c r="P37">
        <f>IF(Table1[[#This Row],[Employment_Status]]="active",1,0)</f>
        <v>1</v>
      </c>
      <c r="Q37">
        <v>1</v>
      </c>
      <c r="R37" s="6">
        <f ca="1">YEARFRAC(Table1[[#This Row],[Hire_Date]],IF(Table1[[#This Row],[Employment_Status]]="Exited",Table1[[#This Row],[Exit_Date]],TODAY()))</f>
        <v>5.3944444444444448</v>
      </c>
      <c r="S37" t="str" cm="1">
        <f t="array" aca="1" ref="S37" ca="1">_xlfn.IFS(AND(Table1[[#This Row],[Tenure]]&gt;=0,Table1[[#This Row],[Tenure]]&lt;=1),"0-1",AND(Table1[[#This Row],[Tenure]]&gt;1,Table1[[#This Row],[Tenure]]&lt;=3),"1-3",AND(Table1[[#This Row],[Tenure]]&gt;3,Table1[[#This Row],[Tenure]]&lt;=5),"3-5",AND(Table1[[#This Row],[Tenure]]&gt;5,Table1[[#This Row],[Tenure]]&lt;=8),"5-8")</f>
        <v>5-8</v>
      </c>
      <c r="T37" t="str" cm="1">
        <f t="array" ref="T37">_xlfn.IFS(AND(Table1[[#This Row],[Salary]]&gt;=180000, Table1[[#This Row],[Salary]] &lt;=500000),"Low (180k-500k)", AND(Table1[[#This Row],[Salary]]&gt;500000, Table1[[#This Row],[Salary]]&lt;=800000), "Medium (501k-800k)", AND(Table1[[#This Row],[Salary]]&gt;800000, Table1[[#This Row],[Salary]]&lt;1200000), "High (801k - 1.2m)")</f>
        <v>High (801k - 1.2m)</v>
      </c>
    </row>
    <row r="38" spans="1:20" x14ac:dyDescent="0.2">
      <c r="A38">
        <v>37</v>
      </c>
      <c r="B38" t="s">
        <v>75</v>
      </c>
      <c r="C38" t="s">
        <v>20</v>
      </c>
      <c r="D38">
        <v>45</v>
      </c>
      <c r="E38" t="s">
        <v>15</v>
      </c>
      <c r="F38" t="s">
        <v>27</v>
      </c>
      <c r="G38">
        <v>640041</v>
      </c>
      <c r="H38" t="s">
        <v>77</v>
      </c>
      <c r="J38" t="s">
        <v>18</v>
      </c>
      <c r="K38">
        <v>3</v>
      </c>
      <c r="L38">
        <v>38</v>
      </c>
      <c r="M38">
        <v>74</v>
      </c>
      <c r="N38">
        <f>IF(Table1[[#This Row],[Employment_Status]]="Exited",1,0)</f>
        <v>0</v>
      </c>
      <c r="O38" t="str" cm="1">
        <f t="array" ref="O38">_xlfn.IFS(AND(Table1[[#This Row],[Age]]&gt;=22,Table1[[#This Row],[Age]]&lt;=35),"22-35",AND(Table1[[#This Row],[Age]]&gt;=36,Table1[[#This Row],[Age]]&lt;=45),"36-45",AND(Table1[[#This Row],[Age]]&gt;=46,Table1[[#This Row],[Age]]&lt;=55),"46-55")</f>
        <v>36-45</v>
      </c>
      <c r="P38">
        <f>IF(Table1[[#This Row],[Employment_Status]]="active",1,0)</f>
        <v>1</v>
      </c>
      <c r="Q38">
        <v>1</v>
      </c>
      <c r="R38" s="6">
        <f ca="1">YEARFRAC(Table1[[#This Row],[Hire_Date]],IF(Table1[[#This Row],[Employment_Status]]="Exited",Table1[[#This Row],[Exit_Date]],TODAY()))</f>
        <v>3.0805555555555557</v>
      </c>
      <c r="S38" t="str" cm="1">
        <f t="array" aca="1" ref="S38" ca="1">_xlfn.IFS(AND(Table1[[#This Row],[Tenure]]&gt;=0,Table1[[#This Row],[Tenure]]&lt;=1),"0-1",AND(Table1[[#This Row],[Tenure]]&gt;1,Table1[[#This Row],[Tenure]]&lt;=3),"1-3",AND(Table1[[#This Row],[Tenure]]&gt;3,Table1[[#This Row],[Tenure]]&lt;=5),"3-5",AND(Table1[[#This Row],[Tenure]]&gt;5,Table1[[#This Row],[Tenure]]&lt;=8),"5-8")</f>
        <v>3-5</v>
      </c>
      <c r="T38" t="str" cm="1">
        <f t="array" ref="T38">_xlfn.IFS(AND(Table1[[#This Row],[Salary]]&gt;=180000, Table1[[#This Row],[Salary]] &lt;=500000),"Low (180k-500k)", AND(Table1[[#This Row],[Salary]]&gt;500000, Table1[[#This Row],[Salary]]&lt;=800000), "Medium (501k-800k)", AND(Table1[[#This Row],[Salary]]&gt;800000, Table1[[#This Row],[Salary]]&lt;1200000), "High (801k - 1.2m)")</f>
        <v>Medium (501k-800k)</v>
      </c>
    </row>
    <row r="39" spans="1:20" x14ac:dyDescent="0.2">
      <c r="A39">
        <v>38</v>
      </c>
      <c r="B39" t="s">
        <v>40</v>
      </c>
      <c r="C39" t="s">
        <v>20</v>
      </c>
      <c r="D39">
        <v>38</v>
      </c>
      <c r="E39" t="s">
        <v>15</v>
      </c>
      <c r="F39" t="s">
        <v>34</v>
      </c>
      <c r="G39">
        <v>1065852</v>
      </c>
      <c r="H39" t="s">
        <v>78</v>
      </c>
      <c r="J39" t="s">
        <v>18</v>
      </c>
      <c r="K39">
        <v>1</v>
      </c>
      <c r="L39">
        <v>2</v>
      </c>
      <c r="M39">
        <v>83</v>
      </c>
      <c r="N39">
        <f>IF(Table1[[#This Row],[Employment_Status]]="Exited",1,0)</f>
        <v>0</v>
      </c>
      <c r="O39" t="str" cm="1">
        <f t="array" ref="O39">_xlfn.IFS(AND(Table1[[#This Row],[Age]]&gt;=22,Table1[[#This Row],[Age]]&lt;=35),"22-35",AND(Table1[[#This Row],[Age]]&gt;=36,Table1[[#This Row],[Age]]&lt;=45),"36-45",AND(Table1[[#This Row],[Age]]&gt;=46,Table1[[#This Row],[Age]]&lt;=55),"46-55")</f>
        <v>36-45</v>
      </c>
      <c r="P39">
        <f>IF(Table1[[#This Row],[Employment_Status]]="active",1,0)</f>
        <v>1</v>
      </c>
      <c r="Q39">
        <v>1</v>
      </c>
      <c r="R39" s="6">
        <f ca="1">YEARFRAC(Table1[[#This Row],[Hire_Date]],IF(Table1[[#This Row],[Employment_Status]]="Exited",Table1[[#This Row],[Exit_Date]],TODAY()))</f>
        <v>6.9944444444444445</v>
      </c>
      <c r="S39" t="str" cm="1">
        <f t="array" aca="1" ref="S39" ca="1">_xlfn.IFS(AND(Table1[[#This Row],[Tenure]]&gt;=0,Table1[[#This Row],[Tenure]]&lt;=1),"0-1",AND(Table1[[#This Row],[Tenure]]&gt;1,Table1[[#This Row],[Tenure]]&lt;=3),"1-3",AND(Table1[[#This Row],[Tenure]]&gt;3,Table1[[#This Row],[Tenure]]&lt;=5),"3-5",AND(Table1[[#This Row],[Tenure]]&gt;5,Table1[[#This Row],[Tenure]]&lt;=8),"5-8")</f>
        <v>5-8</v>
      </c>
      <c r="T39" t="str" cm="1">
        <f t="array" ref="T39">_xlfn.IFS(AND(Table1[[#This Row],[Salary]]&gt;=180000, Table1[[#This Row],[Salary]] &lt;=500000),"Low (180k-500k)", AND(Table1[[#This Row],[Salary]]&gt;500000, Table1[[#This Row],[Salary]]&lt;=800000), "Medium (501k-800k)", AND(Table1[[#This Row],[Salary]]&gt;800000, Table1[[#This Row],[Salary]]&lt;1200000), "High (801k - 1.2m)")</f>
        <v>High (801k - 1.2m)</v>
      </c>
    </row>
    <row r="40" spans="1:20" x14ac:dyDescent="0.2">
      <c r="A40">
        <v>39</v>
      </c>
      <c r="B40" t="s">
        <v>31</v>
      </c>
      <c r="C40" t="s">
        <v>14</v>
      </c>
      <c r="D40">
        <v>31</v>
      </c>
      <c r="E40" t="s">
        <v>15</v>
      </c>
      <c r="F40" t="s">
        <v>34</v>
      </c>
      <c r="G40">
        <v>448901</v>
      </c>
      <c r="H40" t="s">
        <v>79</v>
      </c>
      <c r="J40" t="s">
        <v>18</v>
      </c>
      <c r="K40">
        <v>3</v>
      </c>
      <c r="L40">
        <v>24</v>
      </c>
      <c r="M40">
        <v>80</v>
      </c>
      <c r="N40">
        <f>IF(Table1[[#This Row],[Employment_Status]]="Exited",1,0)</f>
        <v>0</v>
      </c>
      <c r="O40" t="str" cm="1">
        <f t="array" ref="O40">_xlfn.IFS(AND(Table1[[#This Row],[Age]]&gt;=22,Table1[[#This Row],[Age]]&lt;=35),"22-35",AND(Table1[[#This Row],[Age]]&gt;=36,Table1[[#This Row],[Age]]&lt;=45),"36-45",AND(Table1[[#This Row],[Age]]&gt;=46,Table1[[#This Row],[Age]]&lt;=55),"46-55")</f>
        <v>22-35</v>
      </c>
      <c r="P40">
        <f>IF(Table1[[#This Row],[Employment_Status]]="active",1,0)</f>
        <v>1</v>
      </c>
      <c r="Q40">
        <v>1</v>
      </c>
      <c r="R40" s="6">
        <f ca="1">YEARFRAC(Table1[[#This Row],[Hire_Date]],IF(Table1[[#This Row],[Employment_Status]]="Exited",Table1[[#This Row],[Exit_Date]],TODAY()))</f>
        <v>2.6666666666666665</v>
      </c>
      <c r="S40" t="str" cm="1">
        <f t="array" aca="1" ref="S40" ca="1">_xlfn.IFS(AND(Table1[[#This Row],[Tenure]]&gt;=0,Table1[[#This Row],[Tenure]]&lt;=1),"0-1",AND(Table1[[#This Row],[Tenure]]&gt;1,Table1[[#This Row],[Tenure]]&lt;=3),"1-3",AND(Table1[[#This Row],[Tenure]]&gt;3,Table1[[#This Row],[Tenure]]&lt;=5),"3-5",AND(Table1[[#This Row],[Tenure]]&gt;5,Table1[[#This Row],[Tenure]]&lt;=8),"5-8")</f>
        <v>1-3</v>
      </c>
      <c r="T40" t="str" cm="1">
        <f t="array" ref="T40">_xlfn.IFS(AND(Table1[[#This Row],[Salary]]&gt;=180000, Table1[[#This Row],[Salary]] &lt;=500000),"Low (180k-500k)", AND(Table1[[#This Row],[Salary]]&gt;500000, Table1[[#This Row],[Salary]]&lt;=800000), "Medium (501k-800k)", AND(Table1[[#This Row],[Salary]]&gt;800000, Table1[[#This Row],[Salary]]&lt;1200000), "High (801k - 1.2m)")</f>
        <v>Low (180k-500k)</v>
      </c>
    </row>
    <row r="41" spans="1:20" x14ac:dyDescent="0.2">
      <c r="A41">
        <v>40</v>
      </c>
      <c r="B41" t="s">
        <v>24</v>
      </c>
      <c r="C41" t="s">
        <v>20</v>
      </c>
      <c r="D41">
        <v>52</v>
      </c>
      <c r="E41" t="s">
        <v>45</v>
      </c>
      <c r="F41" t="s">
        <v>27</v>
      </c>
      <c r="G41">
        <v>533465</v>
      </c>
      <c r="H41" t="s">
        <v>80</v>
      </c>
      <c r="J41" t="s">
        <v>18</v>
      </c>
      <c r="K41">
        <v>4</v>
      </c>
      <c r="L41">
        <v>31</v>
      </c>
      <c r="M41">
        <v>67</v>
      </c>
      <c r="N41">
        <f>IF(Table1[[#This Row],[Employment_Status]]="Exited",1,0)</f>
        <v>0</v>
      </c>
      <c r="O41" t="str" cm="1">
        <f t="array" ref="O41">_xlfn.IFS(AND(Table1[[#This Row],[Age]]&gt;=22,Table1[[#This Row],[Age]]&lt;=35),"22-35",AND(Table1[[#This Row],[Age]]&gt;=36,Table1[[#This Row],[Age]]&lt;=45),"36-45",AND(Table1[[#This Row],[Age]]&gt;=46,Table1[[#This Row],[Age]]&lt;=55),"46-55")</f>
        <v>46-55</v>
      </c>
      <c r="P41">
        <f>IF(Table1[[#This Row],[Employment_Status]]="active",1,0)</f>
        <v>1</v>
      </c>
      <c r="Q41">
        <v>1</v>
      </c>
      <c r="R41" s="6">
        <f ca="1">YEARFRAC(Table1[[#This Row],[Hire_Date]],IF(Table1[[#This Row],[Employment_Status]]="Exited",Table1[[#This Row],[Exit_Date]],TODAY()))</f>
        <v>6.0194444444444448</v>
      </c>
      <c r="S41" t="str" cm="1">
        <f t="array" aca="1" ref="S41" ca="1">_xlfn.IFS(AND(Table1[[#This Row],[Tenure]]&gt;=0,Table1[[#This Row],[Tenure]]&lt;=1),"0-1",AND(Table1[[#This Row],[Tenure]]&gt;1,Table1[[#This Row],[Tenure]]&lt;=3),"1-3",AND(Table1[[#This Row],[Tenure]]&gt;3,Table1[[#This Row],[Tenure]]&lt;=5),"3-5",AND(Table1[[#This Row],[Tenure]]&gt;5,Table1[[#This Row],[Tenure]]&lt;=8),"5-8")</f>
        <v>5-8</v>
      </c>
      <c r="T41" t="str" cm="1">
        <f t="array" ref="T41">_xlfn.IFS(AND(Table1[[#This Row],[Salary]]&gt;=180000, Table1[[#This Row],[Salary]] &lt;=500000),"Low (180k-500k)", AND(Table1[[#This Row],[Salary]]&gt;500000, Table1[[#This Row],[Salary]]&lt;=800000), "Medium (501k-800k)", AND(Table1[[#This Row],[Salary]]&gt;800000, Table1[[#This Row],[Salary]]&lt;1200000), "High (801k - 1.2m)")</f>
        <v>Medium (501k-800k)</v>
      </c>
    </row>
    <row r="42" spans="1:20" x14ac:dyDescent="0.2">
      <c r="A42">
        <v>41</v>
      </c>
      <c r="B42" t="s">
        <v>24</v>
      </c>
      <c r="C42" t="s">
        <v>20</v>
      </c>
      <c r="D42">
        <v>23</v>
      </c>
      <c r="E42" t="s">
        <v>15</v>
      </c>
      <c r="F42" t="s">
        <v>16</v>
      </c>
      <c r="G42">
        <v>813935</v>
      </c>
      <c r="H42" t="s">
        <v>81</v>
      </c>
      <c r="J42" t="s">
        <v>18</v>
      </c>
      <c r="K42">
        <v>2</v>
      </c>
      <c r="L42">
        <v>27</v>
      </c>
      <c r="M42">
        <v>96</v>
      </c>
      <c r="N42">
        <f>IF(Table1[[#This Row],[Employment_Status]]="Exited",1,0)</f>
        <v>0</v>
      </c>
      <c r="O42" t="str" cm="1">
        <f t="array" ref="O42">_xlfn.IFS(AND(Table1[[#This Row],[Age]]&gt;=22,Table1[[#This Row],[Age]]&lt;=35),"22-35",AND(Table1[[#This Row],[Age]]&gt;=36,Table1[[#This Row],[Age]]&lt;=45),"36-45",AND(Table1[[#This Row],[Age]]&gt;=46,Table1[[#This Row],[Age]]&lt;=55),"46-55")</f>
        <v>22-35</v>
      </c>
      <c r="P42">
        <f>IF(Table1[[#This Row],[Employment_Status]]="active",1,0)</f>
        <v>1</v>
      </c>
      <c r="Q42">
        <v>1</v>
      </c>
      <c r="R42" s="6">
        <f ca="1">YEARFRAC(Table1[[#This Row],[Hire_Date]],IF(Table1[[#This Row],[Employment_Status]]="Exited",Table1[[#This Row],[Exit_Date]],TODAY()))</f>
        <v>4.2722222222222221</v>
      </c>
      <c r="S42" t="str" cm="1">
        <f t="array" aca="1" ref="S42" ca="1">_xlfn.IFS(AND(Table1[[#This Row],[Tenure]]&gt;=0,Table1[[#This Row],[Tenure]]&lt;=1),"0-1",AND(Table1[[#This Row],[Tenure]]&gt;1,Table1[[#This Row],[Tenure]]&lt;=3),"1-3",AND(Table1[[#This Row],[Tenure]]&gt;3,Table1[[#This Row],[Tenure]]&lt;=5),"3-5",AND(Table1[[#This Row],[Tenure]]&gt;5,Table1[[#This Row],[Tenure]]&lt;=8),"5-8")</f>
        <v>3-5</v>
      </c>
      <c r="T42" t="str" cm="1">
        <f t="array" ref="T42">_xlfn.IFS(AND(Table1[[#This Row],[Salary]]&gt;=180000, Table1[[#This Row],[Salary]] &lt;=500000),"Low (180k-500k)", AND(Table1[[#This Row],[Salary]]&gt;500000, Table1[[#This Row],[Salary]]&lt;=800000), "Medium (501k-800k)", AND(Table1[[#This Row],[Salary]]&gt;800000, Table1[[#This Row],[Salary]]&lt;1200000), "High (801k - 1.2m)")</f>
        <v>High (801k - 1.2m)</v>
      </c>
    </row>
    <row r="43" spans="1:20" x14ac:dyDescent="0.2">
      <c r="A43">
        <v>42</v>
      </c>
      <c r="B43" t="s">
        <v>31</v>
      </c>
      <c r="C43" t="s">
        <v>14</v>
      </c>
      <c r="D43">
        <v>49</v>
      </c>
      <c r="E43" t="s">
        <v>15</v>
      </c>
      <c r="F43" t="s">
        <v>16</v>
      </c>
      <c r="G43">
        <v>883373</v>
      </c>
      <c r="H43" t="s">
        <v>82</v>
      </c>
      <c r="J43" t="s">
        <v>18</v>
      </c>
      <c r="K43">
        <v>1</v>
      </c>
      <c r="L43">
        <v>8</v>
      </c>
      <c r="M43">
        <v>99</v>
      </c>
      <c r="N43">
        <f>IF(Table1[[#This Row],[Employment_Status]]="Exited",1,0)</f>
        <v>0</v>
      </c>
      <c r="O43" t="str" cm="1">
        <f t="array" ref="O43">_xlfn.IFS(AND(Table1[[#This Row],[Age]]&gt;=22,Table1[[#This Row],[Age]]&lt;=35),"22-35",AND(Table1[[#This Row],[Age]]&gt;=36,Table1[[#This Row],[Age]]&lt;=45),"36-45",AND(Table1[[#This Row],[Age]]&gt;=46,Table1[[#This Row],[Age]]&lt;=55),"46-55")</f>
        <v>46-55</v>
      </c>
      <c r="P43">
        <f>IF(Table1[[#This Row],[Employment_Status]]="active",1,0)</f>
        <v>1</v>
      </c>
      <c r="Q43">
        <v>1</v>
      </c>
      <c r="R43" s="6">
        <f ca="1">YEARFRAC(Table1[[#This Row],[Hire_Date]],IF(Table1[[#This Row],[Employment_Status]]="Exited",Table1[[#This Row],[Exit_Date]],TODAY()))</f>
        <v>5.7166666666666668</v>
      </c>
      <c r="S43" t="str" cm="1">
        <f t="array" aca="1" ref="S43" ca="1">_xlfn.IFS(AND(Table1[[#This Row],[Tenure]]&gt;=0,Table1[[#This Row],[Tenure]]&lt;=1),"0-1",AND(Table1[[#This Row],[Tenure]]&gt;1,Table1[[#This Row],[Tenure]]&lt;=3),"1-3",AND(Table1[[#This Row],[Tenure]]&gt;3,Table1[[#This Row],[Tenure]]&lt;=5),"3-5",AND(Table1[[#This Row],[Tenure]]&gt;5,Table1[[#This Row],[Tenure]]&lt;=8),"5-8")</f>
        <v>5-8</v>
      </c>
      <c r="T43" t="str" cm="1">
        <f t="array" ref="T43">_xlfn.IFS(AND(Table1[[#This Row],[Salary]]&gt;=180000, Table1[[#This Row],[Salary]] &lt;=500000),"Low (180k-500k)", AND(Table1[[#This Row],[Salary]]&gt;500000, Table1[[#This Row],[Salary]]&lt;=800000), "Medium (501k-800k)", AND(Table1[[#This Row],[Salary]]&gt;800000, Table1[[#This Row],[Salary]]&lt;1200000), "High (801k - 1.2m)")</f>
        <v>High (801k - 1.2m)</v>
      </c>
    </row>
    <row r="44" spans="1:20" x14ac:dyDescent="0.2">
      <c r="A44">
        <v>43</v>
      </c>
      <c r="B44" t="s">
        <v>29</v>
      </c>
      <c r="C44" t="s">
        <v>20</v>
      </c>
      <c r="D44">
        <v>48</v>
      </c>
      <c r="E44" t="s">
        <v>21</v>
      </c>
      <c r="F44" t="s">
        <v>27</v>
      </c>
      <c r="G44">
        <v>520290</v>
      </c>
      <c r="H44" t="s">
        <v>83</v>
      </c>
      <c r="J44" t="s">
        <v>18</v>
      </c>
      <c r="K44">
        <v>1</v>
      </c>
      <c r="L44">
        <v>13</v>
      </c>
      <c r="M44">
        <v>79</v>
      </c>
      <c r="N44">
        <f>IF(Table1[[#This Row],[Employment_Status]]="Exited",1,0)</f>
        <v>0</v>
      </c>
      <c r="O44" t="str" cm="1">
        <f t="array" ref="O44">_xlfn.IFS(AND(Table1[[#This Row],[Age]]&gt;=22,Table1[[#This Row],[Age]]&lt;=35),"22-35",AND(Table1[[#This Row],[Age]]&gt;=36,Table1[[#This Row],[Age]]&lt;=45),"36-45",AND(Table1[[#This Row],[Age]]&gt;=46,Table1[[#This Row],[Age]]&lt;=55),"46-55")</f>
        <v>46-55</v>
      </c>
      <c r="P44">
        <f>IF(Table1[[#This Row],[Employment_Status]]="active",1,0)</f>
        <v>1</v>
      </c>
      <c r="Q44">
        <v>1</v>
      </c>
      <c r="R44" s="6">
        <f ca="1">YEARFRAC(Table1[[#This Row],[Hire_Date]],IF(Table1[[#This Row],[Employment_Status]]="Exited",Table1[[#This Row],[Exit_Date]],TODAY()))</f>
        <v>2.213888888888889</v>
      </c>
      <c r="S44" t="str" cm="1">
        <f t="array" aca="1" ref="S44" ca="1">_xlfn.IFS(AND(Table1[[#This Row],[Tenure]]&gt;=0,Table1[[#This Row],[Tenure]]&lt;=1),"0-1",AND(Table1[[#This Row],[Tenure]]&gt;1,Table1[[#This Row],[Tenure]]&lt;=3),"1-3",AND(Table1[[#This Row],[Tenure]]&gt;3,Table1[[#This Row],[Tenure]]&lt;=5),"3-5",AND(Table1[[#This Row],[Tenure]]&gt;5,Table1[[#This Row],[Tenure]]&lt;=8),"5-8")</f>
        <v>1-3</v>
      </c>
      <c r="T44" t="str" cm="1">
        <f t="array" ref="T44">_xlfn.IFS(AND(Table1[[#This Row],[Salary]]&gt;=180000, Table1[[#This Row],[Salary]] &lt;=500000),"Low (180k-500k)", AND(Table1[[#This Row],[Salary]]&gt;500000, Table1[[#This Row],[Salary]]&lt;=800000), "Medium (501k-800k)", AND(Table1[[#This Row],[Salary]]&gt;800000, Table1[[#This Row],[Salary]]&lt;1200000), "High (801k - 1.2m)")</f>
        <v>Medium (501k-800k)</v>
      </c>
    </row>
    <row r="45" spans="1:20" x14ac:dyDescent="0.2">
      <c r="A45">
        <v>44</v>
      </c>
      <c r="B45" t="s">
        <v>31</v>
      </c>
      <c r="C45" t="s">
        <v>20</v>
      </c>
      <c r="D45">
        <v>40</v>
      </c>
      <c r="E45" t="s">
        <v>21</v>
      </c>
      <c r="F45" t="s">
        <v>22</v>
      </c>
      <c r="G45">
        <v>468061</v>
      </c>
      <c r="H45" t="s">
        <v>84</v>
      </c>
      <c r="J45" t="s">
        <v>18</v>
      </c>
      <c r="K45">
        <v>4</v>
      </c>
      <c r="L45">
        <v>35</v>
      </c>
      <c r="M45">
        <v>75</v>
      </c>
      <c r="N45">
        <f>IF(Table1[[#This Row],[Employment_Status]]="Exited",1,0)</f>
        <v>0</v>
      </c>
      <c r="O45" t="str" cm="1">
        <f t="array" ref="O45">_xlfn.IFS(AND(Table1[[#This Row],[Age]]&gt;=22,Table1[[#This Row],[Age]]&lt;=35),"22-35",AND(Table1[[#This Row],[Age]]&gt;=36,Table1[[#This Row],[Age]]&lt;=45),"36-45",AND(Table1[[#This Row],[Age]]&gt;=46,Table1[[#This Row],[Age]]&lt;=55),"46-55")</f>
        <v>36-45</v>
      </c>
      <c r="P45">
        <f>IF(Table1[[#This Row],[Employment_Status]]="active",1,0)</f>
        <v>1</v>
      </c>
      <c r="Q45">
        <v>1</v>
      </c>
      <c r="R45" s="6">
        <f ca="1">YEARFRAC(Table1[[#This Row],[Hire_Date]],IF(Table1[[#This Row],[Employment_Status]]="Exited",Table1[[#This Row],[Exit_Date]],TODAY()))</f>
        <v>2.8638888888888889</v>
      </c>
      <c r="S45" t="str" cm="1">
        <f t="array" aca="1" ref="S45" ca="1">_xlfn.IFS(AND(Table1[[#This Row],[Tenure]]&gt;=0,Table1[[#This Row],[Tenure]]&lt;=1),"0-1",AND(Table1[[#This Row],[Tenure]]&gt;1,Table1[[#This Row],[Tenure]]&lt;=3),"1-3",AND(Table1[[#This Row],[Tenure]]&gt;3,Table1[[#This Row],[Tenure]]&lt;=5),"3-5",AND(Table1[[#This Row],[Tenure]]&gt;5,Table1[[#This Row],[Tenure]]&lt;=8),"5-8")</f>
        <v>1-3</v>
      </c>
      <c r="T45" t="str" cm="1">
        <f t="array" ref="T45">_xlfn.IFS(AND(Table1[[#This Row],[Salary]]&gt;=180000, Table1[[#This Row],[Salary]] &lt;=500000),"Low (180k-500k)", AND(Table1[[#This Row],[Salary]]&gt;500000, Table1[[#This Row],[Salary]]&lt;=800000), "Medium (501k-800k)", AND(Table1[[#This Row],[Salary]]&gt;800000, Table1[[#This Row],[Salary]]&lt;1200000), "High (801k - 1.2m)")</f>
        <v>Low (180k-500k)</v>
      </c>
    </row>
    <row r="46" spans="1:20" x14ac:dyDescent="0.2">
      <c r="A46">
        <v>45</v>
      </c>
      <c r="B46" t="s">
        <v>26</v>
      </c>
      <c r="C46" t="s">
        <v>20</v>
      </c>
      <c r="D46">
        <v>32</v>
      </c>
      <c r="E46" t="s">
        <v>15</v>
      </c>
      <c r="F46" t="s">
        <v>27</v>
      </c>
      <c r="G46">
        <v>949445</v>
      </c>
      <c r="H46" t="s">
        <v>85</v>
      </c>
      <c r="J46" t="s">
        <v>18</v>
      </c>
      <c r="K46">
        <v>4</v>
      </c>
      <c r="L46">
        <v>13</v>
      </c>
      <c r="M46">
        <v>98</v>
      </c>
      <c r="N46">
        <f>IF(Table1[[#This Row],[Employment_Status]]="Exited",1,0)</f>
        <v>0</v>
      </c>
      <c r="O46" t="str" cm="1">
        <f t="array" ref="O46">_xlfn.IFS(AND(Table1[[#This Row],[Age]]&gt;=22,Table1[[#This Row],[Age]]&lt;=35),"22-35",AND(Table1[[#This Row],[Age]]&gt;=36,Table1[[#This Row],[Age]]&lt;=45),"36-45",AND(Table1[[#This Row],[Age]]&gt;=46,Table1[[#This Row],[Age]]&lt;=55),"46-55")</f>
        <v>22-35</v>
      </c>
      <c r="P46">
        <f>IF(Table1[[#This Row],[Employment_Status]]="active",1,0)</f>
        <v>1</v>
      </c>
      <c r="Q46">
        <v>1</v>
      </c>
      <c r="R46" s="6">
        <f ca="1">YEARFRAC(Table1[[#This Row],[Hire_Date]],IF(Table1[[#This Row],[Employment_Status]]="Exited",Table1[[#This Row],[Exit_Date]],TODAY()))</f>
        <v>4.2472222222222218</v>
      </c>
      <c r="S46" t="str" cm="1">
        <f t="array" aca="1" ref="S46" ca="1">_xlfn.IFS(AND(Table1[[#This Row],[Tenure]]&gt;=0,Table1[[#This Row],[Tenure]]&lt;=1),"0-1",AND(Table1[[#This Row],[Tenure]]&gt;1,Table1[[#This Row],[Tenure]]&lt;=3),"1-3",AND(Table1[[#This Row],[Tenure]]&gt;3,Table1[[#This Row],[Tenure]]&lt;=5),"3-5",AND(Table1[[#This Row],[Tenure]]&gt;5,Table1[[#This Row],[Tenure]]&lt;=8),"5-8")</f>
        <v>3-5</v>
      </c>
      <c r="T46" t="str" cm="1">
        <f t="array" ref="T46">_xlfn.IFS(AND(Table1[[#This Row],[Salary]]&gt;=180000, Table1[[#This Row],[Salary]] &lt;=500000),"Low (180k-500k)", AND(Table1[[#This Row],[Salary]]&gt;500000, Table1[[#This Row],[Salary]]&lt;=800000), "Medium (501k-800k)", AND(Table1[[#This Row],[Salary]]&gt;800000, Table1[[#This Row],[Salary]]&lt;1200000), "High (801k - 1.2m)")</f>
        <v>High (801k - 1.2m)</v>
      </c>
    </row>
    <row r="47" spans="1:20" x14ac:dyDescent="0.2">
      <c r="A47">
        <v>46</v>
      </c>
      <c r="B47" t="s">
        <v>26</v>
      </c>
      <c r="C47" t="s">
        <v>20</v>
      </c>
      <c r="D47">
        <v>31</v>
      </c>
      <c r="E47" t="s">
        <v>21</v>
      </c>
      <c r="F47" t="s">
        <v>16</v>
      </c>
      <c r="G47">
        <v>381329</v>
      </c>
      <c r="H47" t="s">
        <v>86</v>
      </c>
      <c r="J47" t="s">
        <v>18</v>
      </c>
      <c r="K47">
        <v>4</v>
      </c>
      <c r="L47">
        <v>49</v>
      </c>
      <c r="M47">
        <v>85</v>
      </c>
      <c r="N47">
        <f>IF(Table1[[#This Row],[Employment_Status]]="Exited",1,0)</f>
        <v>0</v>
      </c>
      <c r="O47" t="str" cm="1">
        <f t="array" ref="O47">_xlfn.IFS(AND(Table1[[#This Row],[Age]]&gt;=22,Table1[[#This Row],[Age]]&lt;=35),"22-35",AND(Table1[[#This Row],[Age]]&gt;=36,Table1[[#This Row],[Age]]&lt;=45),"36-45",AND(Table1[[#This Row],[Age]]&gt;=46,Table1[[#This Row],[Age]]&lt;=55),"46-55")</f>
        <v>22-35</v>
      </c>
      <c r="P47">
        <f>IF(Table1[[#This Row],[Employment_Status]]="active",1,0)</f>
        <v>1</v>
      </c>
      <c r="Q47">
        <v>1</v>
      </c>
      <c r="R47" s="6">
        <f ca="1">YEARFRAC(Table1[[#This Row],[Hire_Date]],IF(Table1[[#This Row],[Employment_Status]]="Exited",Table1[[#This Row],[Exit_Date]],TODAY()))</f>
        <v>4.75</v>
      </c>
      <c r="S47" t="str" cm="1">
        <f t="array" aca="1" ref="S47" ca="1">_xlfn.IFS(AND(Table1[[#This Row],[Tenure]]&gt;=0,Table1[[#This Row],[Tenure]]&lt;=1),"0-1",AND(Table1[[#This Row],[Tenure]]&gt;1,Table1[[#This Row],[Tenure]]&lt;=3),"1-3",AND(Table1[[#This Row],[Tenure]]&gt;3,Table1[[#This Row],[Tenure]]&lt;=5),"3-5",AND(Table1[[#This Row],[Tenure]]&gt;5,Table1[[#This Row],[Tenure]]&lt;=8),"5-8")</f>
        <v>3-5</v>
      </c>
      <c r="T47" t="str" cm="1">
        <f t="array" ref="T47">_xlfn.IFS(AND(Table1[[#This Row],[Salary]]&gt;=180000, Table1[[#This Row],[Salary]] &lt;=500000),"Low (180k-500k)", AND(Table1[[#This Row],[Salary]]&gt;500000, Table1[[#This Row],[Salary]]&lt;=800000), "Medium (501k-800k)", AND(Table1[[#This Row],[Salary]]&gt;800000, Table1[[#This Row],[Salary]]&lt;1200000), "High (801k - 1.2m)")</f>
        <v>Low (180k-500k)</v>
      </c>
    </row>
    <row r="48" spans="1:20" x14ac:dyDescent="0.2">
      <c r="A48">
        <v>47</v>
      </c>
      <c r="B48" t="s">
        <v>24</v>
      </c>
      <c r="C48" t="s">
        <v>14</v>
      </c>
      <c r="D48">
        <v>35</v>
      </c>
      <c r="E48" t="s">
        <v>21</v>
      </c>
      <c r="F48" t="s">
        <v>22</v>
      </c>
      <c r="G48">
        <v>635478</v>
      </c>
      <c r="H48" t="s">
        <v>87</v>
      </c>
      <c r="J48" t="s">
        <v>18</v>
      </c>
      <c r="K48">
        <v>3</v>
      </c>
      <c r="L48">
        <v>23</v>
      </c>
      <c r="M48">
        <v>82</v>
      </c>
      <c r="N48">
        <f>IF(Table1[[#This Row],[Employment_Status]]="Exited",1,0)</f>
        <v>0</v>
      </c>
      <c r="O48" t="str" cm="1">
        <f t="array" ref="O48">_xlfn.IFS(AND(Table1[[#This Row],[Age]]&gt;=22,Table1[[#This Row],[Age]]&lt;=35),"22-35",AND(Table1[[#This Row],[Age]]&gt;=36,Table1[[#This Row],[Age]]&lt;=45),"36-45",AND(Table1[[#This Row],[Age]]&gt;=46,Table1[[#This Row],[Age]]&lt;=55),"46-55")</f>
        <v>22-35</v>
      </c>
      <c r="P48">
        <f>IF(Table1[[#This Row],[Employment_Status]]="active",1,0)</f>
        <v>1</v>
      </c>
      <c r="Q48">
        <v>1</v>
      </c>
      <c r="R48" s="6">
        <f ca="1">YEARFRAC(Table1[[#This Row],[Hire_Date]],IF(Table1[[#This Row],[Employment_Status]]="Exited",Table1[[#This Row],[Exit_Date]],TODAY()))</f>
        <v>3.5388888888888888</v>
      </c>
      <c r="S48" t="str" cm="1">
        <f t="array" aca="1" ref="S48" ca="1">_xlfn.IFS(AND(Table1[[#This Row],[Tenure]]&gt;=0,Table1[[#This Row],[Tenure]]&lt;=1),"0-1",AND(Table1[[#This Row],[Tenure]]&gt;1,Table1[[#This Row],[Tenure]]&lt;=3),"1-3",AND(Table1[[#This Row],[Tenure]]&gt;3,Table1[[#This Row],[Tenure]]&lt;=5),"3-5",AND(Table1[[#This Row],[Tenure]]&gt;5,Table1[[#This Row],[Tenure]]&lt;=8),"5-8")</f>
        <v>3-5</v>
      </c>
      <c r="T48" t="str" cm="1">
        <f t="array" ref="T48">_xlfn.IFS(AND(Table1[[#This Row],[Salary]]&gt;=180000, Table1[[#This Row],[Salary]] &lt;=500000),"Low (180k-500k)", AND(Table1[[#This Row],[Salary]]&gt;500000, Table1[[#This Row],[Salary]]&lt;=800000), "Medium (501k-800k)", AND(Table1[[#This Row],[Salary]]&gt;800000, Table1[[#This Row],[Salary]]&lt;1200000), "High (801k - 1.2m)")</f>
        <v>Medium (501k-800k)</v>
      </c>
    </row>
    <row r="49" spans="1:20" x14ac:dyDescent="0.2">
      <c r="A49">
        <v>48</v>
      </c>
      <c r="B49" t="s">
        <v>31</v>
      </c>
      <c r="C49" t="s">
        <v>20</v>
      </c>
      <c r="D49">
        <v>29</v>
      </c>
      <c r="E49" t="s">
        <v>21</v>
      </c>
      <c r="F49" t="s">
        <v>16</v>
      </c>
      <c r="G49">
        <v>622829</v>
      </c>
      <c r="H49" t="s">
        <v>88</v>
      </c>
      <c r="J49" t="s">
        <v>18</v>
      </c>
      <c r="K49">
        <v>1</v>
      </c>
      <c r="L49">
        <v>13</v>
      </c>
      <c r="M49">
        <v>90</v>
      </c>
      <c r="N49">
        <f>IF(Table1[[#This Row],[Employment_Status]]="Exited",1,0)</f>
        <v>0</v>
      </c>
      <c r="O49" t="str" cm="1">
        <f t="array" ref="O49">_xlfn.IFS(AND(Table1[[#This Row],[Age]]&gt;=22,Table1[[#This Row],[Age]]&lt;=35),"22-35",AND(Table1[[#This Row],[Age]]&gt;=36,Table1[[#This Row],[Age]]&lt;=45),"36-45",AND(Table1[[#This Row],[Age]]&gt;=46,Table1[[#This Row],[Age]]&lt;=55),"46-55")</f>
        <v>22-35</v>
      </c>
      <c r="P49">
        <f>IF(Table1[[#This Row],[Employment_Status]]="active",1,0)</f>
        <v>1</v>
      </c>
      <c r="Q49">
        <v>1</v>
      </c>
      <c r="R49" s="6">
        <f ca="1">YEARFRAC(Table1[[#This Row],[Hire_Date]],IF(Table1[[#This Row],[Employment_Status]]="Exited",Table1[[#This Row],[Exit_Date]],TODAY()))</f>
        <v>5.2222222222222223</v>
      </c>
      <c r="S49" t="str" cm="1">
        <f t="array" aca="1" ref="S49" ca="1">_xlfn.IFS(AND(Table1[[#This Row],[Tenure]]&gt;=0,Table1[[#This Row],[Tenure]]&lt;=1),"0-1",AND(Table1[[#This Row],[Tenure]]&gt;1,Table1[[#This Row],[Tenure]]&lt;=3),"1-3",AND(Table1[[#This Row],[Tenure]]&gt;3,Table1[[#This Row],[Tenure]]&lt;=5),"3-5",AND(Table1[[#This Row],[Tenure]]&gt;5,Table1[[#This Row],[Tenure]]&lt;=8),"5-8")</f>
        <v>5-8</v>
      </c>
      <c r="T49" t="str" cm="1">
        <f t="array" ref="T49">_xlfn.IFS(AND(Table1[[#This Row],[Salary]]&gt;=180000, Table1[[#This Row],[Salary]] &lt;=500000),"Low (180k-500k)", AND(Table1[[#This Row],[Salary]]&gt;500000, Table1[[#This Row],[Salary]]&lt;=800000), "Medium (501k-800k)", AND(Table1[[#This Row],[Salary]]&gt;800000, Table1[[#This Row],[Salary]]&lt;1200000), "High (801k - 1.2m)")</f>
        <v>Medium (501k-800k)</v>
      </c>
    </row>
    <row r="50" spans="1:20" x14ac:dyDescent="0.2">
      <c r="A50">
        <v>49</v>
      </c>
      <c r="B50" t="s">
        <v>75</v>
      </c>
      <c r="C50" t="s">
        <v>14</v>
      </c>
      <c r="D50">
        <v>35</v>
      </c>
      <c r="E50" t="s">
        <v>45</v>
      </c>
      <c r="F50" t="s">
        <v>27</v>
      </c>
      <c r="G50">
        <v>468161</v>
      </c>
      <c r="H50" t="s">
        <v>89</v>
      </c>
      <c r="J50" t="s">
        <v>18</v>
      </c>
      <c r="K50">
        <v>4</v>
      </c>
      <c r="L50">
        <v>38</v>
      </c>
      <c r="M50">
        <v>73</v>
      </c>
      <c r="N50">
        <f>IF(Table1[[#This Row],[Employment_Status]]="Exited",1,0)</f>
        <v>0</v>
      </c>
      <c r="O50" t="str" cm="1">
        <f t="array" ref="O50">_xlfn.IFS(AND(Table1[[#This Row],[Age]]&gt;=22,Table1[[#This Row],[Age]]&lt;=35),"22-35",AND(Table1[[#This Row],[Age]]&gt;=36,Table1[[#This Row],[Age]]&lt;=45),"36-45",AND(Table1[[#This Row],[Age]]&gt;=46,Table1[[#This Row],[Age]]&lt;=55),"46-55")</f>
        <v>22-35</v>
      </c>
      <c r="P50">
        <f>IF(Table1[[#This Row],[Employment_Status]]="active",1,0)</f>
        <v>1</v>
      </c>
      <c r="Q50">
        <v>1</v>
      </c>
      <c r="R50" s="6">
        <f ca="1">YEARFRAC(Table1[[#This Row],[Hire_Date]],IF(Table1[[#This Row],[Employment_Status]]="Exited",Table1[[#This Row],[Exit_Date]],TODAY()))</f>
        <v>6.5805555555555557</v>
      </c>
      <c r="S50" t="str" cm="1">
        <f t="array" aca="1" ref="S50" ca="1">_xlfn.IFS(AND(Table1[[#This Row],[Tenure]]&gt;=0,Table1[[#This Row],[Tenure]]&lt;=1),"0-1",AND(Table1[[#This Row],[Tenure]]&gt;1,Table1[[#This Row],[Tenure]]&lt;=3),"1-3",AND(Table1[[#This Row],[Tenure]]&gt;3,Table1[[#This Row],[Tenure]]&lt;=5),"3-5",AND(Table1[[#This Row],[Tenure]]&gt;5,Table1[[#This Row],[Tenure]]&lt;=8),"5-8")</f>
        <v>5-8</v>
      </c>
      <c r="T50" t="str" cm="1">
        <f t="array" ref="T50">_xlfn.IFS(AND(Table1[[#This Row],[Salary]]&gt;=180000, Table1[[#This Row],[Salary]] &lt;=500000),"Low (180k-500k)", AND(Table1[[#This Row],[Salary]]&gt;500000, Table1[[#This Row],[Salary]]&lt;=800000), "Medium (501k-800k)", AND(Table1[[#This Row],[Salary]]&gt;800000, Table1[[#This Row],[Salary]]&lt;1200000), "High (801k - 1.2m)")</f>
        <v>Low (180k-500k)</v>
      </c>
    </row>
    <row r="51" spans="1:20" x14ac:dyDescent="0.2">
      <c r="A51">
        <v>50</v>
      </c>
      <c r="B51" t="s">
        <v>24</v>
      </c>
      <c r="C51" t="s">
        <v>20</v>
      </c>
      <c r="D51">
        <v>31</v>
      </c>
      <c r="E51" t="s">
        <v>49</v>
      </c>
      <c r="F51" t="s">
        <v>22</v>
      </c>
      <c r="G51">
        <v>371254</v>
      </c>
      <c r="H51" t="s">
        <v>90</v>
      </c>
      <c r="J51" t="s">
        <v>18</v>
      </c>
      <c r="K51">
        <v>2</v>
      </c>
      <c r="L51">
        <v>22</v>
      </c>
      <c r="M51">
        <v>90</v>
      </c>
      <c r="N51">
        <f>IF(Table1[[#This Row],[Employment_Status]]="Exited",1,0)</f>
        <v>0</v>
      </c>
      <c r="O51" t="str" cm="1">
        <f t="array" ref="O51">_xlfn.IFS(AND(Table1[[#This Row],[Age]]&gt;=22,Table1[[#This Row],[Age]]&lt;=35),"22-35",AND(Table1[[#This Row],[Age]]&gt;=36,Table1[[#This Row],[Age]]&lt;=45),"36-45",AND(Table1[[#This Row],[Age]]&gt;=46,Table1[[#This Row],[Age]]&lt;=55),"46-55")</f>
        <v>22-35</v>
      </c>
      <c r="P51">
        <f>IF(Table1[[#This Row],[Employment_Status]]="active",1,0)</f>
        <v>1</v>
      </c>
      <c r="Q51">
        <v>1</v>
      </c>
      <c r="R51" s="6">
        <f ca="1">YEARFRAC(Table1[[#This Row],[Hire_Date]],IF(Table1[[#This Row],[Employment_Status]]="Exited",Table1[[#This Row],[Exit_Date]],TODAY()))</f>
        <v>6.572222222222222</v>
      </c>
      <c r="S51" t="str" cm="1">
        <f t="array" aca="1" ref="S51" ca="1">_xlfn.IFS(AND(Table1[[#This Row],[Tenure]]&gt;=0,Table1[[#This Row],[Tenure]]&lt;=1),"0-1",AND(Table1[[#This Row],[Tenure]]&gt;1,Table1[[#This Row],[Tenure]]&lt;=3),"1-3",AND(Table1[[#This Row],[Tenure]]&gt;3,Table1[[#This Row],[Tenure]]&lt;=5),"3-5",AND(Table1[[#This Row],[Tenure]]&gt;5,Table1[[#This Row],[Tenure]]&lt;=8),"5-8")</f>
        <v>5-8</v>
      </c>
      <c r="T51" t="str" cm="1">
        <f t="array" ref="T51">_xlfn.IFS(AND(Table1[[#This Row],[Salary]]&gt;=180000, Table1[[#This Row],[Salary]] &lt;=500000),"Low (180k-500k)", AND(Table1[[#This Row],[Salary]]&gt;500000, Table1[[#This Row],[Salary]]&lt;=800000), "Medium (501k-800k)", AND(Table1[[#This Row],[Salary]]&gt;800000, Table1[[#This Row],[Salary]]&lt;1200000), "High (801k - 1.2m)")</f>
        <v>Low (180k-500k)</v>
      </c>
    </row>
    <row r="52" spans="1:20" x14ac:dyDescent="0.2">
      <c r="A52">
        <v>51</v>
      </c>
      <c r="B52" t="s">
        <v>40</v>
      </c>
      <c r="C52" t="s">
        <v>20</v>
      </c>
      <c r="D52">
        <v>35</v>
      </c>
      <c r="E52" t="s">
        <v>61</v>
      </c>
      <c r="F52" t="s">
        <v>22</v>
      </c>
      <c r="G52">
        <v>206417</v>
      </c>
      <c r="H52" t="s">
        <v>91</v>
      </c>
      <c r="J52" t="s">
        <v>18</v>
      </c>
      <c r="K52">
        <v>1</v>
      </c>
      <c r="L52">
        <v>7</v>
      </c>
      <c r="M52">
        <v>76</v>
      </c>
      <c r="N52">
        <f>IF(Table1[[#This Row],[Employment_Status]]="Exited",1,0)</f>
        <v>0</v>
      </c>
      <c r="O52" t="str" cm="1">
        <f t="array" ref="O52">_xlfn.IFS(AND(Table1[[#This Row],[Age]]&gt;=22,Table1[[#This Row],[Age]]&lt;=35),"22-35",AND(Table1[[#This Row],[Age]]&gt;=36,Table1[[#This Row],[Age]]&lt;=45),"36-45",AND(Table1[[#This Row],[Age]]&gt;=46,Table1[[#This Row],[Age]]&lt;=55),"46-55")</f>
        <v>22-35</v>
      </c>
      <c r="P52">
        <f>IF(Table1[[#This Row],[Employment_Status]]="active",1,0)</f>
        <v>1</v>
      </c>
      <c r="Q52">
        <v>1</v>
      </c>
      <c r="R52" s="6">
        <f ca="1">YEARFRAC(Table1[[#This Row],[Hire_Date]],IF(Table1[[#This Row],[Employment_Status]]="Exited",Table1[[#This Row],[Exit_Date]],TODAY()))</f>
        <v>7.2361111111111107</v>
      </c>
      <c r="S52" t="str" cm="1">
        <f t="array" aca="1" ref="S52" ca="1">_xlfn.IFS(AND(Table1[[#This Row],[Tenure]]&gt;=0,Table1[[#This Row],[Tenure]]&lt;=1),"0-1",AND(Table1[[#This Row],[Tenure]]&gt;1,Table1[[#This Row],[Tenure]]&lt;=3),"1-3",AND(Table1[[#This Row],[Tenure]]&gt;3,Table1[[#This Row],[Tenure]]&lt;=5),"3-5",AND(Table1[[#This Row],[Tenure]]&gt;5,Table1[[#This Row],[Tenure]]&lt;=8),"5-8")</f>
        <v>5-8</v>
      </c>
      <c r="T52" t="str" cm="1">
        <f t="array" ref="T52">_xlfn.IFS(AND(Table1[[#This Row],[Salary]]&gt;=180000, Table1[[#This Row],[Salary]] &lt;=500000),"Low (180k-500k)", AND(Table1[[#This Row],[Salary]]&gt;500000, Table1[[#This Row],[Salary]]&lt;=800000), "Medium (501k-800k)", AND(Table1[[#This Row],[Salary]]&gt;800000, Table1[[#This Row],[Salary]]&lt;1200000), "High (801k - 1.2m)")</f>
        <v>Low (180k-500k)</v>
      </c>
    </row>
    <row r="53" spans="1:20" x14ac:dyDescent="0.2">
      <c r="A53">
        <v>52</v>
      </c>
      <c r="B53" t="s">
        <v>75</v>
      </c>
      <c r="C53" t="s">
        <v>20</v>
      </c>
      <c r="D53">
        <v>53</v>
      </c>
      <c r="E53" t="s">
        <v>61</v>
      </c>
      <c r="F53" t="s">
        <v>22</v>
      </c>
      <c r="G53">
        <v>272592</v>
      </c>
      <c r="H53" t="s">
        <v>92</v>
      </c>
      <c r="J53" t="s">
        <v>18</v>
      </c>
      <c r="K53">
        <v>2</v>
      </c>
      <c r="L53">
        <v>16</v>
      </c>
      <c r="M53">
        <v>84</v>
      </c>
      <c r="N53">
        <f>IF(Table1[[#This Row],[Employment_Status]]="Exited",1,0)</f>
        <v>0</v>
      </c>
      <c r="O53" t="str" cm="1">
        <f t="array" ref="O53">_xlfn.IFS(AND(Table1[[#This Row],[Age]]&gt;=22,Table1[[#This Row],[Age]]&lt;=35),"22-35",AND(Table1[[#This Row],[Age]]&gt;=36,Table1[[#This Row],[Age]]&lt;=45),"36-45",AND(Table1[[#This Row],[Age]]&gt;=46,Table1[[#This Row],[Age]]&lt;=55),"46-55")</f>
        <v>46-55</v>
      </c>
      <c r="P53">
        <f>IF(Table1[[#This Row],[Employment_Status]]="active",1,0)</f>
        <v>1</v>
      </c>
      <c r="Q53">
        <v>1</v>
      </c>
      <c r="R53" s="6">
        <f ca="1">YEARFRAC(Table1[[#This Row],[Hire_Date]],IF(Table1[[#This Row],[Employment_Status]]="Exited",Table1[[#This Row],[Exit_Date]],TODAY()))</f>
        <v>3.5805555555555557</v>
      </c>
      <c r="S53" t="str" cm="1">
        <f t="array" aca="1" ref="S53" ca="1">_xlfn.IFS(AND(Table1[[#This Row],[Tenure]]&gt;=0,Table1[[#This Row],[Tenure]]&lt;=1),"0-1",AND(Table1[[#This Row],[Tenure]]&gt;1,Table1[[#This Row],[Tenure]]&lt;=3),"1-3",AND(Table1[[#This Row],[Tenure]]&gt;3,Table1[[#This Row],[Tenure]]&lt;=5),"3-5",AND(Table1[[#This Row],[Tenure]]&gt;5,Table1[[#This Row],[Tenure]]&lt;=8),"5-8")</f>
        <v>3-5</v>
      </c>
      <c r="T53" t="str" cm="1">
        <f t="array" ref="T53">_xlfn.IFS(AND(Table1[[#This Row],[Salary]]&gt;=180000, Table1[[#This Row],[Salary]] &lt;=500000),"Low (180k-500k)", AND(Table1[[#This Row],[Salary]]&gt;500000, Table1[[#This Row],[Salary]]&lt;=800000), "Medium (501k-800k)", AND(Table1[[#This Row],[Salary]]&gt;800000, Table1[[#This Row],[Salary]]&lt;1200000), "High (801k - 1.2m)")</f>
        <v>Low (180k-500k)</v>
      </c>
    </row>
    <row r="54" spans="1:20" x14ac:dyDescent="0.2">
      <c r="A54">
        <v>53</v>
      </c>
      <c r="B54" t="s">
        <v>58</v>
      </c>
      <c r="C54" t="s">
        <v>14</v>
      </c>
      <c r="D54">
        <v>34</v>
      </c>
      <c r="E54" t="s">
        <v>21</v>
      </c>
      <c r="F54" t="s">
        <v>16</v>
      </c>
      <c r="G54">
        <v>528849</v>
      </c>
      <c r="H54" t="s">
        <v>93</v>
      </c>
      <c r="J54" t="s">
        <v>18</v>
      </c>
      <c r="K54">
        <v>4</v>
      </c>
      <c r="L54">
        <v>36</v>
      </c>
      <c r="M54">
        <v>76</v>
      </c>
      <c r="N54">
        <f>IF(Table1[[#This Row],[Employment_Status]]="Exited",1,0)</f>
        <v>0</v>
      </c>
      <c r="O54" t="str" cm="1">
        <f t="array" ref="O54">_xlfn.IFS(AND(Table1[[#This Row],[Age]]&gt;=22,Table1[[#This Row],[Age]]&lt;=35),"22-35",AND(Table1[[#This Row],[Age]]&gt;=36,Table1[[#This Row],[Age]]&lt;=45),"36-45",AND(Table1[[#This Row],[Age]]&gt;=46,Table1[[#This Row],[Age]]&lt;=55),"46-55")</f>
        <v>22-35</v>
      </c>
      <c r="P54">
        <f>IF(Table1[[#This Row],[Employment_Status]]="active",1,0)</f>
        <v>1</v>
      </c>
      <c r="Q54">
        <v>1</v>
      </c>
      <c r="R54" s="6">
        <f ca="1">YEARFRAC(Table1[[#This Row],[Hire_Date]],IF(Table1[[#This Row],[Employment_Status]]="Exited",Table1[[#This Row],[Exit_Date]],TODAY()))</f>
        <v>5.2472222222222218</v>
      </c>
      <c r="S54" t="str" cm="1">
        <f t="array" aca="1" ref="S54" ca="1">_xlfn.IFS(AND(Table1[[#This Row],[Tenure]]&gt;=0,Table1[[#This Row],[Tenure]]&lt;=1),"0-1",AND(Table1[[#This Row],[Tenure]]&gt;1,Table1[[#This Row],[Tenure]]&lt;=3),"1-3",AND(Table1[[#This Row],[Tenure]]&gt;3,Table1[[#This Row],[Tenure]]&lt;=5),"3-5",AND(Table1[[#This Row],[Tenure]]&gt;5,Table1[[#This Row],[Tenure]]&lt;=8),"5-8")</f>
        <v>5-8</v>
      </c>
      <c r="T54" t="str" cm="1">
        <f t="array" ref="T54">_xlfn.IFS(AND(Table1[[#This Row],[Salary]]&gt;=180000, Table1[[#This Row],[Salary]] &lt;=500000),"Low (180k-500k)", AND(Table1[[#This Row],[Salary]]&gt;500000, Table1[[#This Row],[Salary]]&lt;=800000), "Medium (501k-800k)", AND(Table1[[#This Row],[Salary]]&gt;800000, Table1[[#This Row],[Salary]]&lt;1200000), "High (801k - 1.2m)")</f>
        <v>Medium (501k-800k)</v>
      </c>
    </row>
    <row r="55" spans="1:20" x14ac:dyDescent="0.2">
      <c r="A55">
        <v>54</v>
      </c>
      <c r="B55" t="s">
        <v>33</v>
      </c>
      <c r="C55" t="s">
        <v>14</v>
      </c>
      <c r="D55">
        <v>50</v>
      </c>
      <c r="E55" t="s">
        <v>49</v>
      </c>
      <c r="F55" t="s">
        <v>16</v>
      </c>
      <c r="G55">
        <v>422232</v>
      </c>
      <c r="H55" t="s">
        <v>94</v>
      </c>
      <c r="J55" t="s">
        <v>18</v>
      </c>
      <c r="K55">
        <v>3</v>
      </c>
      <c r="L55">
        <v>45</v>
      </c>
      <c r="M55">
        <v>99</v>
      </c>
      <c r="N55">
        <f>IF(Table1[[#This Row],[Employment_Status]]="Exited",1,0)</f>
        <v>0</v>
      </c>
      <c r="O55" t="str" cm="1">
        <f t="array" ref="O55">_xlfn.IFS(AND(Table1[[#This Row],[Age]]&gt;=22,Table1[[#This Row],[Age]]&lt;=35),"22-35",AND(Table1[[#This Row],[Age]]&gt;=36,Table1[[#This Row],[Age]]&lt;=45),"36-45",AND(Table1[[#This Row],[Age]]&gt;=46,Table1[[#This Row],[Age]]&lt;=55),"46-55")</f>
        <v>46-55</v>
      </c>
      <c r="P55">
        <f>IF(Table1[[#This Row],[Employment_Status]]="active",1,0)</f>
        <v>1</v>
      </c>
      <c r="Q55">
        <v>1</v>
      </c>
      <c r="R55" s="6">
        <f ca="1">YEARFRAC(Table1[[#This Row],[Hire_Date]],IF(Table1[[#This Row],[Employment_Status]]="Exited",Table1[[#This Row],[Exit_Date]],TODAY()))</f>
        <v>5.0305555555555559</v>
      </c>
      <c r="S55" t="str" cm="1">
        <f t="array" aca="1" ref="S55" ca="1">_xlfn.IFS(AND(Table1[[#This Row],[Tenure]]&gt;=0,Table1[[#This Row],[Tenure]]&lt;=1),"0-1",AND(Table1[[#This Row],[Tenure]]&gt;1,Table1[[#This Row],[Tenure]]&lt;=3),"1-3",AND(Table1[[#This Row],[Tenure]]&gt;3,Table1[[#This Row],[Tenure]]&lt;=5),"3-5",AND(Table1[[#This Row],[Tenure]]&gt;5,Table1[[#This Row],[Tenure]]&lt;=8),"5-8")</f>
        <v>5-8</v>
      </c>
      <c r="T55" t="str" cm="1">
        <f t="array" ref="T55">_xlfn.IFS(AND(Table1[[#This Row],[Salary]]&gt;=180000, Table1[[#This Row],[Salary]] &lt;=500000),"Low (180k-500k)", AND(Table1[[#This Row],[Salary]]&gt;500000, Table1[[#This Row],[Salary]]&lt;=800000), "Medium (501k-800k)", AND(Table1[[#This Row],[Salary]]&gt;800000, Table1[[#This Row],[Salary]]&lt;1200000), "High (801k - 1.2m)")</f>
        <v>Low (180k-500k)</v>
      </c>
    </row>
    <row r="56" spans="1:20" x14ac:dyDescent="0.2">
      <c r="A56">
        <v>55</v>
      </c>
      <c r="B56" t="s">
        <v>19</v>
      </c>
      <c r="C56" t="s">
        <v>14</v>
      </c>
      <c r="D56">
        <v>42</v>
      </c>
      <c r="E56" t="s">
        <v>15</v>
      </c>
      <c r="F56" t="s">
        <v>16</v>
      </c>
      <c r="G56">
        <v>622975</v>
      </c>
      <c r="H56" t="s">
        <v>95</v>
      </c>
      <c r="J56" t="s">
        <v>18</v>
      </c>
      <c r="K56">
        <v>2</v>
      </c>
      <c r="L56">
        <v>1</v>
      </c>
      <c r="M56">
        <v>74</v>
      </c>
      <c r="N56">
        <f>IF(Table1[[#This Row],[Employment_Status]]="Exited",1,0)</f>
        <v>0</v>
      </c>
      <c r="O56" t="str" cm="1">
        <f t="array" ref="O56">_xlfn.IFS(AND(Table1[[#This Row],[Age]]&gt;=22,Table1[[#This Row],[Age]]&lt;=35),"22-35",AND(Table1[[#This Row],[Age]]&gt;=36,Table1[[#This Row],[Age]]&lt;=45),"36-45",AND(Table1[[#This Row],[Age]]&gt;=46,Table1[[#This Row],[Age]]&lt;=55),"46-55")</f>
        <v>36-45</v>
      </c>
      <c r="P56">
        <f>IF(Table1[[#This Row],[Employment_Status]]="active",1,0)</f>
        <v>1</v>
      </c>
      <c r="Q56">
        <v>1</v>
      </c>
      <c r="R56" s="6">
        <f ca="1">YEARFRAC(Table1[[#This Row],[Hire_Date]],IF(Table1[[#This Row],[Employment_Status]]="Exited",Table1[[#This Row],[Exit_Date]],TODAY()))</f>
        <v>4.7555555555555555</v>
      </c>
      <c r="S56" t="str" cm="1">
        <f t="array" aca="1" ref="S56" ca="1">_xlfn.IFS(AND(Table1[[#This Row],[Tenure]]&gt;=0,Table1[[#This Row],[Tenure]]&lt;=1),"0-1",AND(Table1[[#This Row],[Tenure]]&gt;1,Table1[[#This Row],[Tenure]]&lt;=3),"1-3",AND(Table1[[#This Row],[Tenure]]&gt;3,Table1[[#This Row],[Tenure]]&lt;=5),"3-5",AND(Table1[[#This Row],[Tenure]]&gt;5,Table1[[#This Row],[Tenure]]&lt;=8),"5-8")</f>
        <v>3-5</v>
      </c>
      <c r="T56" t="str" cm="1">
        <f t="array" ref="T56">_xlfn.IFS(AND(Table1[[#This Row],[Salary]]&gt;=180000, Table1[[#This Row],[Salary]] &lt;=500000),"Low (180k-500k)", AND(Table1[[#This Row],[Salary]]&gt;500000, Table1[[#This Row],[Salary]]&lt;=800000), "Medium (501k-800k)", AND(Table1[[#This Row],[Salary]]&gt;800000, Table1[[#This Row],[Salary]]&lt;1200000), "High (801k - 1.2m)")</f>
        <v>Medium (501k-800k)</v>
      </c>
    </row>
    <row r="57" spans="1:20" x14ac:dyDescent="0.2">
      <c r="A57">
        <v>56</v>
      </c>
      <c r="B57" t="s">
        <v>33</v>
      </c>
      <c r="C57" t="s">
        <v>14</v>
      </c>
      <c r="D57">
        <v>53</v>
      </c>
      <c r="E57" t="s">
        <v>45</v>
      </c>
      <c r="F57" t="s">
        <v>27</v>
      </c>
      <c r="G57">
        <v>454393</v>
      </c>
      <c r="H57" t="s">
        <v>96</v>
      </c>
      <c r="J57" t="s">
        <v>18</v>
      </c>
      <c r="K57">
        <v>4</v>
      </c>
      <c r="L57">
        <v>50</v>
      </c>
      <c r="M57">
        <v>97</v>
      </c>
      <c r="N57">
        <f>IF(Table1[[#This Row],[Employment_Status]]="Exited",1,0)</f>
        <v>0</v>
      </c>
      <c r="O57" t="str" cm="1">
        <f t="array" ref="O57">_xlfn.IFS(AND(Table1[[#This Row],[Age]]&gt;=22,Table1[[#This Row],[Age]]&lt;=35),"22-35",AND(Table1[[#This Row],[Age]]&gt;=36,Table1[[#This Row],[Age]]&lt;=45),"36-45",AND(Table1[[#This Row],[Age]]&gt;=46,Table1[[#This Row],[Age]]&lt;=55),"46-55")</f>
        <v>46-55</v>
      </c>
      <c r="P57">
        <f>IF(Table1[[#This Row],[Employment_Status]]="active",1,0)</f>
        <v>1</v>
      </c>
      <c r="Q57">
        <v>1</v>
      </c>
      <c r="R57" s="6">
        <f ca="1">YEARFRAC(Table1[[#This Row],[Hire_Date]],IF(Table1[[#This Row],[Employment_Status]]="Exited",Table1[[#This Row],[Exit_Date]],TODAY()))</f>
        <v>3.6694444444444443</v>
      </c>
      <c r="S57" t="str" cm="1">
        <f t="array" aca="1" ref="S57" ca="1">_xlfn.IFS(AND(Table1[[#This Row],[Tenure]]&gt;=0,Table1[[#This Row],[Tenure]]&lt;=1),"0-1",AND(Table1[[#This Row],[Tenure]]&gt;1,Table1[[#This Row],[Tenure]]&lt;=3),"1-3",AND(Table1[[#This Row],[Tenure]]&gt;3,Table1[[#This Row],[Tenure]]&lt;=5),"3-5",AND(Table1[[#This Row],[Tenure]]&gt;5,Table1[[#This Row],[Tenure]]&lt;=8),"5-8")</f>
        <v>3-5</v>
      </c>
      <c r="T57" t="str" cm="1">
        <f t="array" ref="T57">_xlfn.IFS(AND(Table1[[#This Row],[Salary]]&gt;=180000, Table1[[#This Row],[Salary]] &lt;=500000),"Low (180k-500k)", AND(Table1[[#This Row],[Salary]]&gt;500000, Table1[[#This Row],[Salary]]&lt;=800000), "Medium (501k-800k)", AND(Table1[[#This Row],[Salary]]&gt;800000, Table1[[#This Row],[Salary]]&lt;1200000), "High (801k - 1.2m)")</f>
        <v>Low (180k-500k)</v>
      </c>
    </row>
    <row r="58" spans="1:20" x14ac:dyDescent="0.2">
      <c r="A58">
        <v>57</v>
      </c>
      <c r="B58" t="s">
        <v>24</v>
      </c>
      <c r="C58" t="s">
        <v>14</v>
      </c>
      <c r="D58">
        <v>52</v>
      </c>
      <c r="E58" t="s">
        <v>45</v>
      </c>
      <c r="F58" t="s">
        <v>22</v>
      </c>
      <c r="G58">
        <v>495891</v>
      </c>
      <c r="H58" t="s">
        <v>97</v>
      </c>
      <c r="J58" t="s">
        <v>18</v>
      </c>
      <c r="K58">
        <v>3</v>
      </c>
      <c r="L58">
        <v>42</v>
      </c>
      <c r="M58">
        <v>67</v>
      </c>
      <c r="N58">
        <f>IF(Table1[[#This Row],[Employment_Status]]="Exited",1,0)</f>
        <v>0</v>
      </c>
      <c r="O58" t="str" cm="1">
        <f t="array" ref="O58">_xlfn.IFS(AND(Table1[[#This Row],[Age]]&gt;=22,Table1[[#This Row],[Age]]&lt;=35),"22-35",AND(Table1[[#This Row],[Age]]&gt;=36,Table1[[#This Row],[Age]]&lt;=45),"36-45",AND(Table1[[#This Row],[Age]]&gt;=46,Table1[[#This Row],[Age]]&lt;=55),"46-55")</f>
        <v>46-55</v>
      </c>
      <c r="P58">
        <f>IF(Table1[[#This Row],[Employment_Status]]="active",1,0)</f>
        <v>1</v>
      </c>
      <c r="Q58">
        <v>1</v>
      </c>
      <c r="R58" s="6">
        <f ca="1">YEARFRAC(Table1[[#This Row],[Hire_Date]],IF(Table1[[#This Row],[Employment_Status]]="Exited",Table1[[#This Row],[Exit_Date]],TODAY()))</f>
        <v>7.1</v>
      </c>
      <c r="S58" t="str" cm="1">
        <f t="array" aca="1" ref="S58" ca="1">_xlfn.IFS(AND(Table1[[#This Row],[Tenure]]&gt;=0,Table1[[#This Row],[Tenure]]&lt;=1),"0-1",AND(Table1[[#This Row],[Tenure]]&gt;1,Table1[[#This Row],[Tenure]]&lt;=3),"1-3",AND(Table1[[#This Row],[Tenure]]&gt;3,Table1[[#This Row],[Tenure]]&lt;=5),"3-5",AND(Table1[[#This Row],[Tenure]]&gt;5,Table1[[#This Row],[Tenure]]&lt;=8),"5-8")</f>
        <v>5-8</v>
      </c>
      <c r="T58" t="str" cm="1">
        <f t="array" ref="T58">_xlfn.IFS(AND(Table1[[#This Row],[Salary]]&gt;=180000, Table1[[#This Row],[Salary]] &lt;=500000),"Low (180k-500k)", AND(Table1[[#This Row],[Salary]]&gt;500000, Table1[[#This Row],[Salary]]&lt;=800000), "Medium (501k-800k)", AND(Table1[[#This Row],[Salary]]&gt;800000, Table1[[#This Row],[Salary]]&lt;1200000), "High (801k - 1.2m)")</f>
        <v>Low (180k-500k)</v>
      </c>
    </row>
    <row r="59" spans="1:20" x14ac:dyDescent="0.2">
      <c r="A59">
        <v>58</v>
      </c>
      <c r="B59" t="s">
        <v>58</v>
      </c>
      <c r="C59" t="s">
        <v>20</v>
      </c>
      <c r="D59">
        <v>54</v>
      </c>
      <c r="E59" t="s">
        <v>15</v>
      </c>
      <c r="F59" t="s">
        <v>22</v>
      </c>
      <c r="G59">
        <v>1113206</v>
      </c>
      <c r="H59" t="s">
        <v>98</v>
      </c>
      <c r="I59" t="s">
        <v>99</v>
      </c>
      <c r="J59" t="s">
        <v>55</v>
      </c>
      <c r="K59">
        <v>3</v>
      </c>
      <c r="L59">
        <v>45</v>
      </c>
      <c r="M59">
        <v>76</v>
      </c>
      <c r="N59">
        <f>IF(Table1[[#This Row],[Employment_Status]]="Exited",1,0)</f>
        <v>1</v>
      </c>
      <c r="O59" t="str" cm="1">
        <f t="array" ref="O59">_xlfn.IFS(AND(Table1[[#This Row],[Age]]&gt;=22,Table1[[#This Row],[Age]]&lt;=35),"22-35",AND(Table1[[#This Row],[Age]]&gt;=36,Table1[[#This Row],[Age]]&lt;=45),"36-45",AND(Table1[[#This Row],[Age]]&gt;=46,Table1[[#This Row],[Age]]&lt;=55),"46-55")</f>
        <v>46-55</v>
      </c>
      <c r="P59">
        <f>IF(Table1[[#This Row],[Employment_Status]]="active",1,0)</f>
        <v>0</v>
      </c>
      <c r="Q59">
        <v>1</v>
      </c>
      <c r="R59" s="6">
        <f ca="1">YEARFRAC(Table1[[#This Row],[Hire_Date]],IF(Table1[[#This Row],[Employment_Status]]="Exited",Table1[[#This Row],[Exit_Date]],TODAY()))</f>
        <v>1.625</v>
      </c>
      <c r="S59" t="str" cm="1">
        <f t="array" aca="1" ref="S59" ca="1">_xlfn.IFS(AND(Table1[[#This Row],[Tenure]]&gt;=0,Table1[[#This Row],[Tenure]]&lt;=1),"0-1",AND(Table1[[#This Row],[Tenure]]&gt;1,Table1[[#This Row],[Tenure]]&lt;=3),"1-3",AND(Table1[[#This Row],[Tenure]]&gt;3,Table1[[#This Row],[Tenure]]&lt;=5),"3-5",AND(Table1[[#This Row],[Tenure]]&gt;5,Table1[[#This Row],[Tenure]]&lt;=8),"5-8")</f>
        <v>1-3</v>
      </c>
      <c r="T59" t="str" cm="1">
        <f t="array" ref="T59">_xlfn.IFS(AND(Table1[[#This Row],[Salary]]&gt;=180000, Table1[[#This Row],[Salary]] &lt;=500000),"Low (180k-500k)", AND(Table1[[#This Row],[Salary]]&gt;500000, Table1[[#This Row],[Salary]]&lt;=800000), "Medium (501k-800k)", AND(Table1[[#This Row],[Salary]]&gt;800000, Table1[[#This Row],[Salary]]&lt;1200000), "High (801k - 1.2m)")</f>
        <v>High (801k - 1.2m)</v>
      </c>
    </row>
    <row r="60" spans="1:20" x14ac:dyDescent="0.2">
      <c r="A60">
        <v>59</v>
      </c>
      <c r="B60" t="s">
        <v>40</v>
      </c>
      <c r="C60" t="s">
        <v>20</v>
      </c>
      <c r="D60">
        <v>53</v>
      </c>
      <c r="E60" t="s">
        <v>21</v>
      </c>
      <c r="F60" t="s">
        <v>34</v>
      </c>
      <c r="G60">
        <v>648639</v>
      </c>
      <c r="H60" t="s">
        <v>100</v>
      </c>
      <c r="J60" t="s">
        <v>18</v>
      </c>
      <c r="K60">
        <v>4</v>
      </c>
      <c r="L60">
        <v>45</v>
      </c>
      <c r="M60">
        <v>81</v>
      </c>
      <c r="N60">
        <f>IF(Table1[[#This Row],[Employment_Status]]="Exited",1,0)</f>
        <v>0</v>
      </c>
      <c r="O60" t="str" cm="1">
        <f t="array" ref="O60">_xlfn.IFS(AND(Table1[[#This Row],[Age]]&gt;=22,Table1[[#This Row],[Age]]&lt;=35),"22-35",AND(Table1[[#This Row],[Age]]&gt;=36,Table1[[#This Row],[Age]]&lt;=45),"36-45",AND(Table1[[#This Row],[Age]]&gt;=46,Table1[[#This Row],[Age]]&lt;=55),"46-55")</f>
        <v>46-55</v>
      </c>
      <c r="P60">
        <f>IF(Table1[[#This Row],[Employment_Status]]="active",1,0)</f>
        <v>1</v>
      </c>
      <c r="Q60">
        <v>1</v>
      </c>
      <c r="R60" s="6">
        <f ca="1">YEARFRAC(Table1[[#This Row],[Hire_Date]],IF(Table1[[#This Row],[Employment_Status]]="Exited",Table1[[#This Row],[Exit_Date]],TODAY()))</f>
        <v>4.4638888888888886</v>
      </c>
      <c r="S60" t="str" cm="1">
        <f t="array" aca="1" ref="S60" ca="1">_xlfn.IFS(AND(Table1[[#This Row],[Tenure]]&gt;=0,Table1[[#This Row],[Tenure]]&lt;=1),"0-1",AND(Table1[[#This Row],[Tenure]]&gt;1,Table1[[#This Row],[Tenure]]&lt;=3),"1-3",AND(Table1[[#This Row],[Tenure]]&gt;3,Table1[[#This Row],[Tenure]]&lt;=5),"3-5",AND(Table1[[#This Row],[Tenure]]&gt;5,Table1[[#This Row],[Tenure]]&lt;=8),"5-8")</f>
        <v>3-5</v>
      </c>
      <c r="T60" t="str" cm="1">
        <f t="array" ref="T60">_xlfn.IFS(AND(Table1[[#This Row],[Salary]]&gt;=180000, Table1[[#This Row],[Salary]] &lt;=500000),"Low (180k-500k)", AND(Table1[[#This Row],[Salary]]&gt;500000, Table1[[#This Row],[Salary]]&lt;=800000), "Medium (501k-800k)", AND(Table1[[#This Row],[Salary]]&gt;800000, Table1[[#This Row],[Salary]]&lt;1200000), "High (801k - 1.2m)")</f>
        <v>Medium (501k-800k)</v>
      </c>
    </row>
    <row r="61" spans="1:20" x14ac:dyDescent="0.2">
      <c r="A61">
        <v>60</v>
      </c>
      <c r="B61" t="s">
        <v>13</v>
      </c>
      <c r="C61" t="s">
        <v>20</v>
      </c>
      <c r="D61">
        <v>35</v>
      </c>
      <c r="E61" t="s">
        <v>49</v>
      </c>
      <c r="F61" t="s">
        <v>27</v>
      </c>
      <c r="G61">
        <v>410820</v>
      </c>
      <c r="H61" t="s">
        <v>101</v>
      </c>
      <c r="J61" t="s">
        <v>18</v>
      </c>
      <c r="K61">
        <v>3</v>
      </c>
      <c r="L61">
        <v>44</v>
      </c>
      <c r="M61">
        <v>85</v>
      </c>
      <c r="N61">
        <f>IF(Table1[[#This Row],[Employment_Status]]="Exited",1,0)</f>
        <v>0</v>
      </c>
      <c r="O61" t="str" cm="1">
        <f t="array" ref="O61">_xlfn.IFS(AND(Table1[[#This Row],[Age]]&gt;=22,Table1[[#This Row],[Age]]&lt;=35),"22-35",AND(Table1[[#This Row],[Age]]&gt;=36,Table1[[#This Row],[Age]]&lt;=45),"36-45",AND(Table1[[#This Row],[Age]]&gt;=46,Table1[[#This Row],[Age]]&lt;=55),"46-55")</f>
        <v>22-35</v>
      </c>
      <c r="P61">
        <f>IF(Table1[[#This Row],[Employment_Status]]="active",1,0)</f>
        <v>1</v>
      </c>
      <c r="Q61">
        <v>1</v>
      </c>
      <c r="R61" s="6">
        <f ca="1">YEARFRAC(Table1[[#This Row],[Hire_Date]],IF(Table1[[#This Row],[Employment_Status]]="Exited",Table1[[#This Row],[Exit_Date]],TODAY()))</f>
        <v>2.6277777777777778</v>
      </c>
      <c r="S61" t="str" cm="1">
        <f t="array" aca="1" ref="S61" ca="1">_xlfn.IFS(AND(Table1[[#This Row],[Tenure]]&gt;=0,Table1[[#This Row],[Tenure]]&lt;=1),"0-1",AND(Table1[[#This Row],[Tenure]]&gt;1,Table1[[#This Row],[Tenure]]&lt;=3),"1-3",AND(Table1[[#This Row],[Tenure]]&gt;3,Table1[[#This Row],[Tenure]]&lt;=5),"3-5",AND(Table1[[#This Row],[Tenure]]&gt;5,Table1[[#This Row],[Tenure]]&lt;=8),"5-8")</f>
        <v>1-3</v>
      </c>
      <c r="T61" t="str" cm="1">
        <f t="array" ref="T61">_xlfn.IFS(AND(Table1[[#This Row],[Salary]]&gt;=180000, Table1[[#This Row],[Salary]] &lt;=500000),"Low (180k-500k)", AND(Table1[[#This Row],[Salary]]&gt;500000, Table1[[#This Row],[Salary]]&lt;=800000), "Medium (501k-800k)", AND(Table1[[#This Row],[Salary]]&gt;800000, Table1[[#This Row],[Salary]]&lt;1200000), "High (801k - 1.2m)")</f>
        <v>Low (180k-500k)</v>
      </c>
    </row>
    <row r="62" spans="1:20" x14ac:dyDescent="0.2">
      <c r="A62">
        <v>61</v>
      </c>
      <c r="B62" t="s">
        <v>36</v>
      </c>
      <c r="C62" t="s">
        <v>14</v>
      </c>
      <c r="D62">
        <v>42</v>
      </c>
      <c r="E62" t="s">
        <v>21</v>
      </c>
      <c r="F62" t="s">
        <v>27</v>
      </c>
      <c r="G62">
        <v>457511</v>
      </c>
      <c r="H62" t="s">
        <v>102</v>
      </c>
      <c r="J62" t="s">
        <v>18</v>
      </c>
      <c r="K62">
        <v>3</v>
      </c>
      <c r="L62">
        <v>10</v>
      </c>
      <c r="M62">
        <v>82</v>
      </c>
      <c r="N62">
        <f>IF(Table1[[#This Row],[Employment_Status]]="Exited",1,0)</f>
        <v>0</v>
      </c>
      <c r="O62" t="str" cm="1">
        <f t="array" ref="O62">_xlfn.IFS(AND(Table1[[#This Row],[Age]]&gt;=22,Table1[[#This Row],[Age]]&lt;=35),"22-35",AND(Table1[[#This Row],[Age]]&gt;=36,Table1[[#This Row],[Age]]&lt;=45),"36-45",AND(Table1[[#This Row],[Age]]&gt;=46,Table1[[#This Row],[Age]]&lt;=55),"46-55")</f>
        <v>36-45</v>
      </c>
      <c r="P62">
        <f>IF(Table1[[#This Row],[Employment_Status]]="active",1,0)</f>
        <v>1</v>
      </c>
      <c r="Q62">
        <v>1</v>
      </c>
      <c r="R62" s="6">
        <f ca="1">YEARFRAC(Table1[[#This Row],[Hire_Date]],IF(Table1[[#This Row],[Employment_Status]]="Exited",Table1[[#This Row],[Exit_Date]],TODAY()))</f>
        <v>2.6472222222222221</v>
      </c>
      <c r="S62" t="str" cm="1">
        <f t="array" aca="1" ref="S62" ca="1">_xlfn.IFS(AND(Table1[[#This Row],[Tenure]]&gt;=0,Table1[[#This Row],[Tenure]]&lt;=1),"0-1",AND(Table1[[#This Row],[Tenure]]&gt;1,Table1[[#This Row],[Tenure]]&lt;=3),"1-3",AND(Table1[[#This Row],[Tenure]]&gt;3,Table1[[#This Row],[Tenure]]&lt;=5),"3-5",AND(Table1[[#This Row],[Tenure]]&gt;5,Table1[[#This Row],[Tenure]]&lt;=8),"5-8")</f>
        <v>1-3</v>
      </c>
      <c r="T62" t="str" cm="1">
        <f t="array" ref="T62">_xlfn.IFS(AND(Table1[[#This Row],[Salary]]&gt;=180000, Table1[[#This Row],[Salary]] &lt;=500000),"Low (180k-500k)", AND(Table1[[#This Row],[Salary]]&gt;500000, Table1[[#This Row],[Salary]]&lt;=800000), "Medium (501k-800k)", AND(Table1[[#This Row],[Salary]]&gt;800000, Table1[[#This Row],[Salary]]&lt;1200000), "High (801k - 1.2m)")</f>
        <v>Low (180k-500k)</v>
      </c>
    </row>
    <row r="63" spans="1:20" x14ac:dyDescent="0.2">
      <c r="A63">
        <v>62</v>
      </c>
      <c r="B63" t="s">
        <v>24</v>
      </c>
      <c r="C63" t="s">
        <v>20</v>
      </c>
      <c r="D63">
        <v>52</v>
      </c>
      <c r="E63" t="s">
        <v>15</v>
      </c>
      <c r="F63" t="s">
        <v>34</v>
      </c>
      <c r="G63">
        <v>1145606</v>
      </c>
      <c r="H63" t="s">
        <v>103</v>
      </c>
      <c r="J63" t="s">
        <v>18</v>
      </c>
      <c r="K63">
        <v>4</v>
      </c>
      <c r="L63">
        <v>8</v>
      </c>
      <c r="M63">
        <v>73</v>
      </c>
      <c r="N63">
        <f>IF(Table1[[#This Row],[Employment_Status]]="Exited",1,0)</f>
        <v>0</v>
      </c>
      <c r="O63" t="str" cm="1">
        <f t="array" ref="O63">_xlfn.IFS(AND(Table1[[#This Row],[Age]]&gt;=22,Table1[[#This Row],[Age]]&lt;=35),"22-35",AND(Table1[[#This Row],[Age]]&gt;=36,Table1[[#This Row],[Age]]&lt;=45),"36-45",AND(Table1[[#This Row],[Age]]&gt;=46,Table1[[#This Row],[Age]]&lt;=55),"46-55")</f>
        <v>46-55</v>
      </c>
      <c r="P63">
        <f>IF(Table1[[#This Row],[Employment_Status]]="active",1,0)</f>
        <v>1</v>
      </c>
      <c r="Q63">
        <v>1</v>
      </c>
      <c r="R63" s="6">
        <f ca="1">YEARFRAC(Table1[[#This Row],[Hire_Date]],IF(Table1[[#This Row],[Employment_Status]]="Exited",Table1[[#This Row],[Exit_Date]],TODAY()))</f>
        <v>6.7777777777777777</v>
      </c>
      <c r="S63" t="str" cm="1">
        <f t="array" aca="1" ref="S63" ca="1">_xlfn.IFS(AND(Table1[[#This Row],[Tenure]]&gt;=0,Table1[[#This Row],[Tenure]]&lt;=1),"0-1",AND(Table1[[#This Row],[Tenure]]&gt;1,Table1[[#This Row],[Tenure]]&lt;=3),"1-3",AND(Table1[[#This Row],[Tenure]]&gt;3,Table1[[#This Row],[Tenure]]&lt;=5),"3-5",AND(Table1[[#This Row],[Tenure]]&gt;5,Table1[[#This Row],[Tenure]]&lt;=8),"5-8")</f>
        <v>5-8</v>
      </c>
      <c r="T63" t="str" cm="1">
        <f t="array" ref="T63">_xlfn.IFS(AND(Table1[[#This Row],[Salary]]&gt;=180000, Table1[[#This Row],[Salary]] &lt;=500000),"Low (180k-500k)", AND(Table1[[#This Row],[Salary]]&gt;500000, Table1[[#This Row],[Salary]]&lt;=800000), "Medium (501k-800k)", AND(Table1[[#This Row],[Salary]]&gt;800000, Table1[[#This Row],[Salary]]&lt;1200000), "High (801k - 1.2m)")</f>
        <v>High (801k - 1.2m)</v>
      </c>
    </row>
    <row r="64" spans="1:20" x14ac:dyDescent="0.2">
      <c r="A64">
        <v>63</v>
      </c>
      <c r="B64" t="s">
        <v>26</v>
      </c>
      <c r="C64" t="s">
        <v>20</v>
      </c>
      <c r="D64">
        <v>23</v>
      </c>
      <c r="E64" t="s">
        <v>15</v>
      </c>
      <c r="F64" t="s">
        <v>22</v>
      </c>
      <c r="G64">
        <v>1107401</v>
      </c>
      <c r="H64" t="s">
        <v>104</v>
      </c>
      <c r="J64" t="s">
        <v>18</v>
      </c>
      <c r="K64">
        <v>4</v>
      </c>
      <c r="L64">
        <v>37</v>
      </c>
      <c r="M64">
        <v>95</v>
      </c>
      <c r="N64">
        <f>IF(Table1[[#This Row],[Employment_Status]]="Exited",1,0)</f>
        <v>0</v>
      </c>
      <c r="O64" t="str" cm="1">
        <f t="array" ref="O64">_xlfn.IFS(AND(Table1[[#This Row],[Age]]&gt;=22,Table1[[#This Row],[Age]]&lt;=35),"22-35",AND(Table1[[#This Row],[Age]]&gt;=36,Table1[[#This Row],[Age]]&lt;=45),"36-45",AND(Table1[[#This Row],[Age]]&gt;=46,Table1[[#This Row],[Age]]&lt;=55),"46-55")</f>
        <v>22-35</v>
      </c>
      <c r="P64">
        <f>IF(Table1[[#This Row],[Employment_Status]]="active",1,0)</f>
        <v>1</v>
      </c>
      <c r="Q64">
        <v>1</v>
      </c>
      <c r="R64" s="6">
        <f ca="1">YEARFRAC(Table1[[#This Row],[Hire_Date]],IF(Table1[[#This Row],[Employment_Status]]="Exited",Table1[[#This Row],[Exit_Date]],TODAY()))</f>
        <v>4.1500000000000004</v>
      </c>
      <c r="S64" t="str" cm="1">
        <f t="array" aca="1" ref="S64" ca="1">_xlfn.IFS(AND(Table1[[#This Row],[Tenure]]&gt;=0,Table1[[#This Row],[Tenure]]&lt;=1),"0-1",AND(Table1[[#This Row],[Tenure]]&gt;1,Table1[[#This Row],[Tenure]]&lt;=3),"1-3",AND(Table1[[#This Row],[Tenure]]&gt;3,Table1[[#This Row],[Tenure]]&lt;=5),"3-5",AND(Table1[[#This Row],[Tenure]]&gt;5,Table1[[#This Row],[Tenure]]&lt;=8),"5-8")</f>
        <v>3-5</v>
      </c>
      <c r="T64" t="str" cm="1">
        <f t="array" ref="T64">_xlfn.IFS(AND(Table1[[#This Row],[Salary]]&gt;=180000, Table1[[#This Row],[Salary]] &lt;=500000),"Low (180k-500k)", AND(Table1[[#This Row],[Salary]]&gt;500000, Table1[[#This Row],[Salary]]&lt;=800000), "Medium (501k-800k)", AND(Table1[[#This Row],[Salary]]&gt;800000, Table1[[#This Row],[Salary]]&lt;1200000), "High (801k - 1.2m)")</f>
        <v>High (801k - 1.2m)</v>
      </c>
    </row>
    <row r="65" spans="1:20" x14ac:dyDescent="0.2">
      <c r="A65">
        <v>64</v>
      </c>
      <c r="B65" t="s">
        <v>26</v>
      </c>
      <c r="C65" t="s">
        <v>20</v>
      </c>
      <c r="D65">
        <v>45</v>
      </c>
      <c r="E65" t="s">
        <v>61</v>
      </c>
      <c r="F65" t="s">
        <v>34</v>
      </c>
      <c r="G65">
        <v>356186</v>
      </c>
      <c r="H65" t="s">
        <v>105</v>
      </c>
      <c r="J65" t="s">
        <v>18</v>
      </c>
      <c r="K65">
        <v>1</v>
      </c>
      <c r="L65">
        <v>16</v>
      </c>
      <c r="M65">
        <v>94</v>
      </c>
      <c r="N65">
        <f>IF(Table1[[#This Row],[Employment_Status]]="Exited",1,0)</f>
        <v>0</v>
      </c>
      <c r="O65" t="str" cm="1">
        <f t="array" ref="O65">_xlfn.IFS(AND(Table1[[#This Row],[Age]]&gt;=22,Table1[[#This Row],[Age]]&lt;=35),"22-35",AND(Table1[[#This Row],[Age]]&gt;=36,Table1[[#This Row],[Age]]&lt;=45),"36-45",AND(Table1[[#This Row],[Age]]&gt;=46,Table1[[#This Row],[Age]]&lt;=55),"46-55")</f>
        <v>36-45</v>
      </c>
      <c r="P65">
        <f>IF(Table1[[#This Row],[Employment_Status]]="active",1,0)</f>
        <v>1</v>
      </c>
      <c r="Q65">
        <v>1</v>
      </c>
      <c r="R65" s="6">
        <f ca="1">YEARFRAC(Table1[[#This Row],[Hire_Date]],IF(Table1[[#This Row],[Employment_Status]]="Exited",Table1[[#This Row],[Exit_Date]],TODAY()))</f>
        <v>6.9222222222222225</v>
      </c>
      <c r="S65" t="str" cm="1">
        <f t="array" aca="1" ref="S65" ca="1">_xlfn.IFS(AND(Table1[[#This Row],[Tenure]]&gt;=0,Table1[[#This Row],[Tenure]]&lt;=1),"0-1",AND(Table1[[#This Row],[Tenure]]&gt;1,Table1[[#This Row],[Tenure]]&lt;=3),"1-3",AND(Table1[[#This Row],[Tenure]]&gt;3,Table1[[#This Row],[Tenure]]&lt;=5),"3-5",AND(Table1[[#This Row],[Tenure]]&gt;5,Table1[[#This Row],[Tenure]]&lt;=8),"5-8")</f>
        <v>5-8</v>
      </c>
      <c r="T65" t="str" cm="1">
        <f t="array" ref="T65">_xlfn.IFS(AND(Table1[[#This Row],[Salary]]&gt;=180000, Table1[[#This Row],[Salary]] &lt;=500000),"Low (180k-500k)", AND(Table1[[#This Row],[Salary]]&gt;500000, Table1[[#This Row],[Salary]]&lt;=800000), "Medium (501k-800k)", AND(Table1[[#This Row],[Salary]]&gt;800000, Table1[[#This Row],[Salary]]&lt;1200000), "High (801k - 1.2m)")</f>
        <v>Low (180k-500k)</v>
      </c>
    </row>
    <row r="66" spans="1:20" x14ac:dyDescent="0.2">
      <c r="A66">
        <v>65</v>
      </c>
      <c r="B66" t="s">
        <v>33</v>
      </c>
      <c r="C66" t="s">
        <v>14</v>
      </c>
      <c r="D66">
        <v>33</v>
      </c>
      <c r="E66" t="s">
        <v>21</v>
      </c>
      <c r="F66" t="s">
        <v>22</v>
      </c>
      <c r="G66">
        <v>478126</v>
      </c>
      <c r="H66" t="s">
        <v>106</v>
      </c>
      <c r="J66" t="s">
        <v>18</v>
      </c>
      <c r="K66">
        <v>1</v>
      </c>
      <c r="L66">
        <v>21</v>
      </c>
      <c r="M66">
        <v>98</v>
      </c>
      <c r="N66">
        <f>IF(Table1[[#This Row],[Employment_Status]]="Exited",1,0)</f>
        <v>0</v>
      </c>
      <c r="O66" t="str" cm="1">
        <f t="array" ref="O66">_xlfn.IFS(AND(Table1[[#This Row],[Age]]&gt;=22,Table1[[#This Row],[Age]]&lt;=35),"22-35",AND(Table1[[#This Row],[Age]]&gt;=36,Table1[[#This Row],[Age]]&lt;=45),"36-45",AND(Table1[[#This Row],[Age]]&gt;=46,Table1[[#This Row],[Age]]&lt;=55),"46-55")</f>
        <v>22-35</v>
      </c>
      <c r="P66">
        <f>IF(Table1[[#This Row],[Employment_Status]]="active",1,0)</f>
        <v>1</v>
      </c>
      <c r="Q66">
        <v>1</v>
      </c>
      <c r="R66" s="6">
        <f ca="1">YEARFRAC(Table1[[#This Row],[Hire_Date]],IF(Table1[[#This Row],[Employment_Status]]="Exited",Table1[[#This Row],[Exit_Date]],TODAY()))</f>
        <v>4.8305555555555557</v>
      </c>
      <c r="S66" t="str" cm="1">
        <f t="array" aca="1" ref="S66" ca="1">_xlfn.IFS(AND(Table1[[#This Row],[Tenure]]&gt;=0,Table1[[#This Row],[Tenure]]&lt;=1),"0-1",AND(Table1[[#This Row],[Tenure]]&gt;1,Table1[[#This Row],[Tenure]]&lt;=3),"1-3",AND(Table1[[#This Row],[Tenure]]&gt;3,Table1[[#This Row],[Tenure]]&lt;=5),"3-5",AND(Table1[[#This Row],[Tenure]]&gt;5,Table1[[#This Row],[Tenure]]&lt;=8),"5-8")</f>
        <v>3-5</v>
      </c>
      <c r="T66" t="str" cm="1">
        <f t="array" ref="T66">_xlfn.IFS(AND(Table1[[#This Row],[Salary]]&gt;=180000, Table1[[#This Row],[Salary]] &lt;=500000),"Low (180k-500k)", AND(Table1[[#This Row],[Salary]]&gt;500000, Table1[[#This Row],[Salary]]&lt;=800000), "Medium (501k-800k)", AND(Table1[[#This Row],[Salary]]&gt;800000, Table1[[#This Row],[Salary]]&lt;1200000), "High (801k - 1.2m)")</f>
        <v>Low (180k-500k)</v>
      </c>
    </row>
    <row r="67" spans="1:20" x14ac:dyDescent="0.2">
      <c r="A67">
        <v>66</v>
      </c>
      <c r="B67" t="s">
        <v>31</v>
      </c>
      <c r="C67" t="s">
        <v>14</v>
      </c>
      <c r="D67">
        <v>53</v>
      </c>
      <c r="E67" t="s">
        <v>45</v>
      </c>
      <c r="F67" t="s">
        <v>34</v>
      </c>
      <c r="G67">
        <v>492332</v>
      </c>
      <c r="H67" t="s">
        <v>107</v>
      </c>
      <c r="J67" t="s">
        <v>18</v>
      </c>
      <c r="K67">
        <v>5</v>
      </c>
      <c r="L67">
        <v>49</v>
      </c>
      <c r="M67">
        <v>67</v>
      </c>
      <c r="N67">
        <f>IF(Table1[[#This Row],[Employment_Status]]="Exited",1,0)</f>
        <v>0</v>
      </c>
      <c r="O67" t="str" cm="1">
        <f t="array" ref="O67">_xlfn.IFS(AND(Table1[[#This Row],[Age]]&gt;=22,Table1[[#This Row],[Age]]&lt;=35),"22-35",AND(Table1[[#This Row],[Age]]&gt;=36,Table1[[#This Row],[Age]]&lt;=45),"36-45",AND(Table1[[#This Row],[Age]]&gt;=46,Table1[[#This Row],[Age]]&lt;=55),"46-55")</f>
        <v>46-55</v>
      </c>
      <c r="P67">
        <f>IF(Table1[[#This Row],[Employment_Status]]="active",1,0)</f>
        <v>1</v>
      </c>
      <c r="Q67">
        <v>1</v>
      </c>
      <c r="R67" s="6">
        <f ca="1">YEARFRAC(Table1[[#This Row],[Hire_Date]],IF(Table1[[#This Row],[Employment_Status]]="Exited",Table1[[#This Row],[Exit_Date]],TODAY()))</f>
        <v>5.208333333333333</v>
      </c>
      <c r="S67" t="str" cm="1">
        <f t="array" aca="1" ref="S67" ca="1">_xlfn.IFS(AND(Table1[[#This Row],[Tenure]]&gt;=0,Table1[[#This Row],[Tenure]]&lt;=1),"0-1",AND(Table1[[#This Row],[Tenure]]&gt;1,Table1[[#This Row],[Tenure]]&lt;=3),"1-3",AND(Table1[[#This Row],[Tenure]]&gt;3,Table1[[#This Row],[Tenure]]&lt;=5),"3-5",AND(Table1[[#This Row],[Tenure]]&gt;5,Table1[[#This Row],[Tenure]]&lt;=8),"5-8")</f>
        <v>5-8</v>
      </c>
      <c r="T67" t="str" cm="1">
        <f t="array" ref="T67">_xlfn.IFS(AND(Table1[[#This Row],[Salary]]&gt;=180000, Table1[[#This Row],[Salary]] &lt;=500000),"Low (180k-500k)", AND(Table1[[#This Row],[Salary]]&gt;500000, Table1[[#This Row],[Salary]]&lt;=800000), "Medium (501k-800k)", AND(Table1[[#This Row],[Salary]]&gt;800000, Table1[[#This Row],[Salary]]&lt;1200000), "High (801k - 1.2m)")</f>
        <v>Low (180k-500k)</v>
      </c>
    </row>
    <row r="68" spans="1:20" x14ac:dyDescent="0.2">
      <c r="A68">
        <v>67</v>
      </c>
      <c r="B68" t="s">
        <v>26</v>
      </c>
      <c r="C68" t="s">
        <v>20</v>
      </c>
      <c r="D68">
        <v>48</v>
      </c>
      <c r="E68" t="s">
        <v>15</v>
      </c>
      <c r="F68" t="s">
        <v>16</v>
      </c>
      <c r="G68">
        <v>1013216</v>
      </c>
      <c r="H68" t="s">
        <v>108</v>
      </c>
      <c r="J68" t="s">
        <v>18</v>
      </c>
      <c r="K68">
        <v>3</v>
      </c>
      <c r="L68">
        <v>19</v>
      </c>
      <c r="M68">
        <v>73</v>
      </c>
      <c r="N68">
        <f>IF(Table1[[#This Row],[Employment_Status]]="Exited",1,0)</f>
        <v>0</v>
      </c>
      <c r="O68" t="str" cm="1">
        <f t="array" ref="O68">_xlfn.IFS(AND(Table1[[#This Row],[Age]]&gt;=22,Table1[[#This Row],[Age]]&lt;=35),"22-35",AND(Table1[[#This Row],[Age]]&gt;=36,Table1[[#This Row],[Age]]&lt;=45),"36-45",AND(Table1[[#This Row],[Age]]&gt;=46,Table1[[#This Row],[Age]]&lt;=55),"46-55")</f>
        <v>46-55</v>
      </c>
      <c r="P68">
        <f>IF(Table1[[#This Row],[Employment_Status]]="active",1,0)</f>
        <v>1</v>
      </c>
      <c r="Q68">
        <v>1</v>
      </c>
      <c r="R68" s="6">
        <f ca="1">YEARFRAC(Table1[[#This Row],[Hire_Date]],IF(Table1[[#This Row],[Employment_Status]]="Exited",Table1[[#This Row],[Exit_Date]],TODAY()))</f>
        <v>3.9888888888888889</v>
      </c>
      <c r="S68" t="str" cm="1">
        <f t="array" aca="1" ref="S68" ca="1">_xlfn.IFS(AND(Table1[[#This Row],[Tenure]]&gt;=0,Table1[[#This Row],[Tenure]]&lt;=1),"0-1",AND(Table1[[#This Row],[Tenure]]&gt;1,Table1[[#This Row],[Tenure]]&lt;=3),"1-3",AND(Table1[[#This Row],[Tenure]]&gt;3,Table1[[#This Row],[Tenure]]&lt;=5),"3-5",AND(Table1[[#This Row],[Tenure]]&gt;5,Table1[[#This Row],[Tenure]]&lt;=8),"5-8")</f>
        <v>3-5</v>
      </c>
      <c r="T68" t="str" cm="1">
        <f t="array" ref="T68">_xlfn.IFS(AND(Table1[[#This Row],[Salary]]&gt;=180000, Table1[[#This Row],[Salary]] &lt;=500000),"Low (180k-500k)", AND(Table1[[#This Row],[Salary]]&gt;500000, Table1[[#This Row],[Salary]]&lt;=800000), "Medium (501k-800k)", AND(Table1[[#This Row],[Salary]]&gt;800000, Table1[[#This Row],[Salary]]&lt;1200000), "High (801k - 1.2m)")</f>
        <v>High (801k - 1.2m)</v>
      </c>
    </row>
    <row r="69" spans="1:20" x14ac:dyDescent="0.2">
      <c r="A69">
        <v>68</v>
      </c>
      <c r="B69" t="s">
        <v>75</v>
      </c>
      <c r="C69" t="s">
        <v>20</v>
      </c>
      <c r="D69">
        <v>47</v>
      </c>
      <c r="E69" t="s">
        <v>21</v>
      </c>
      <c r="F69" t="s">
        <v>27</v>
      </c>
      <c r="G69">
        <v>363105</v>
      </c>
      <c r="H69" t="s">
        <v>109</v>
      </c>
      <c r="I69" t="s">
        <v>110</v>
      </c>
      <c r="J69" t="s">
        <v>55</v>
      </c>
      <c r="K69">
        <v>1</v>
      </c>
      <c r="L69">
        <v>8</v>
      </c>
      <c r="M69">
        <v>97</v>
      </c>
      <c r="N69">
        <f>IF(Table1[[#This Row],[Employment_Status]]="Exited",1,0)</f>
        <v>1</v>
      </c>
      <c r="O69" t="str" cm="1">
        <f t="array" ref="O69">_xlfn.IFS(AND(Table1[[#This Row],[Age]]&gt;=22,Table1[[#This Row],[Age]]&lt;=35),"22-35",AND(Table1[[#This Row],[Age]]&gt;=36,Table1[[#This Row],[Age]]&lt;=45),"36-45",AND(Table1[[#This Row],[Age]]&gt;=46,Table1[[#This Row],[Age]]&lt;=55),"46-55")</f>
        <v>46-55</v>
      </c>
      <c r="P69">
        <f>IF(Table1[[#This Row],[Employment_Status]]="active",1,0)</f>
        <v>0</v>
      </c>
      <c r="Q69">
        <v>1</v>
      </c>
      <c r="R69" s="6">
        <f ca="1">YEARFRAC(Table1[[#This Row],[Hire_Date]],IF(Table1[[#This Row],[Employment_Status]]="Exited",Table1[[#This Row],[Exit_Date]],TODAY()))</f>
        <v>2.0972222222222223</v>
      </c>
      <c r="S69" t="str" cm="1">
        <f t="array" aca="1" ref="S69" ca="1">_xlfn.IFS(AND(Table1[[#This Row],[Tenure]]&gt;=0,Table1[[#This Row],[Tenure]]&lt;=1),"0-1",AND(Table1[[#This Row],[Tenure]]&gt;1,Table1[[#This Row],[Tenure]]&lt;=3),"1-3",AND(Table1[[#This Row],[Tenure]]&gt;3,Table1[[#This Row],[Tenure]]&lt;=5),"3-5",AND(Table1[[#This Row],[Tenure]]&gt;5,Table1[[#This Row],[Tenure]]&lt;=8),"5-8")</f>
        <v>1-3</v>
      </c>
      <c r="T69" t="str" cm="1">
        <f t="array" ref="T69">_xlfn.IFS(AND(Table1[[#This Row],[Salary]]&gt;=180000, Table1[[#This Row],[Salary]] &lt;=500000),"Low (180k-500k)", AND(Table1[[#This Row],[Salary]]&gt;500000, Table1[[#This Row],[Salary]]&lt;=800000), "Medium (501k-800k)", AND(Table1[[#This Row],[Salary]]&gt;800000, Table1[[#This Row],[Salary]]&lt;1200000), "High (801k - 1.2m)")</f>
        <v>Low (180k-500k)</v>
      </c>
    </row>
    <row r="70" spans="1:20" x14ac:dyDescent="0.2">
      <c r="A70">
        <v>69</v>
      </c>
      <c r="B70" t="s">
        <v>24</v>
      </c>
      <c r="C70" t="s">
        <v>14</v>
      </c>
      <c r="D70">
        <v>23</v>
      </c>
      <c r="E70" t="s">
        <v>21</v>
      </c>
      <c r="F70" t="s">
        <v>16</v>
      </c>
      <c r="G70">
        <v>582587</v>
      </c>
      <c r="H70" t="s">
        <v>111</v>
      </c>
      <c r="J70" t="s">
        <v>18</v>
      </c>
      <c r="K70">
        <v>4</v>
      </c>
      <c r="L70">
        <v>5</v>
      </c>
      <c r="M70">
        <v>84</v>
      </c>
      <c r="N70">
        <f>IF(Table1[[#This Row],[Employment_Status]]="Exited",1,0)</f>
        <v>0</v>
      </c>
      <c r="O70" t="str" cm="1">
        <f t="array" ref="O70">_xlfn.IFS(AND(Table1[[#This Row],[Age]]&gt;=22,Table1[[#This Row],[Age]]&lt;=35),"22-35",AND(Table1[[#This Row],[Age]]&gt;=36,Table1[[#This Row],[Age]]&lt;=45),"36-45",AND(Table1[[#This Row],[Age]]&gt;=46,Table1[[#This Row],[Age]]&lt;=55),"46-55")</f>
        <v>22-35</v>
      </c>
      <c r="P70">
        <f>IF(Table1[[#This Row],[Employment_Status]]="active",1,0)</f>
        <v>1</v>
      </c>
      <c r="Q70">
        <v>1</v>
      </c>
      <c r="R70" s="6">
        <f ca="1">YEARFRAC(Table1[[#This Row],[Hire_Date]],IF(Table1[[#This Row],[Employment_Status]]="Exited",Table1[[#This Row],[Exit_Date]],TODAY()))</f>
        <v>3.85</v>
      </c>
      <c r="S70" t="str" cm="1">
        <f t="array" aca="1" ref="S70" ca="1">_xlfn.IFS(AND(Table1[[#This Row],[Tenure]]&gt;=0,Table1[[#This Row],[Tenure]]&lt;=1),"0-1",AND(Table1[[#This Row],[Tenure]]&gt;1,Table1[[#This Row],[Tenure]]&lt;=3),"1-3",AND(Table1[[#This Row],[Tenure]]&gt;3,Table1[[#This Row],[Tenure]]&lt;=5),"3-5",AND(Table1[[#This Row],[Tenure]]&gt;5,Table1[[#This Row],[Tenure]]&lt;=8),"5-8")</f>
        <v>3-5</v>
      </c>
      <c r="T70" t="str" cm="1">
        <f t="array" ref="T70">_xlfn.IFS(AND(Table1[[#This Row],[Salary]]&gt;=180000, Table1[[#This Row],[Salary]] &lt;=500000),"Low (180k-500k)", AND(Table1[[#This Row],[Salary]]&gt;500000, Table1[[#This Row],[Salary]]&lt;=800000), "Medium (501k-800k)", AND(Table1[[#This Row],[Salary]]&gt;800000, Table1[[#This Row],[Salary]]&lt;1200000), "High (801k - 1.2m)")</f>
        <v>Medium (501k-800k)</v>
      </c>
    </row>
    <row r="71" spans="1:20" x14ac:dyDescent="0.2">
      <c r="A71">
        <v>70</v>
      </c>
      <c r="B71" t="s">
        <v>24</v>
      </c>
      <c r="C71" t="s">
        <v>14</v>
      </c>
      <c r="D71">
        <v>51</v>
      </c>
      <c r="E71" t="s">
        <v>15</v>
      </c>
      <c r="F71" t="s">
        <v>16</v>
      </c>
      <c r="G71">
        <v>881687</v>
      </c>
      <c r="H71" t="s">
        <v>112</v>
      </c>
      <c r="J71" t="s">
        <v>18</v>
      </c>
      <c r="K71">
        <v>4</v>
      </c>
      <c r="L71">
        <v>43</v>
      </c>
      <c r="M71">
        <v>95</v>
      </c>
      <c r="N71">
        <f>IF(Table1[[#This Row],[Employment_Status]]="Exited",1,0)</f>
        <v>0</v>
      </c>
      <c r="O71" t="str" cm="1">
        <f t="array" ref="O71">_xlfn.IFS(AND(Table1[[#This Row],[Age]]&gt;=22,Table1[[#This Row],[Age]]&lt;=35),"22-35",AND(Table1[[#This Row],[Age]]&gt;=36,Table1[[#This Row],[Age]]&lt;=45),"36-45",AND(Table1[[#This Row],[Age]]&gt;=46,Table1[[#This Row],[Age]]&lt;=55),"46-55")</f>
        <v>46-55</v>
      </c>
      <c r="P71">
        <f>IF(Table1[[#This Row],[Employment_Status]]="active",1,0)</f>
        <v>1</v>
      </c>
      <c r="Q71">
        <v>1</v>
      </c>
      <c r="R71" s="6">
        <f ca="1">YEARFRAC(Table1[[#This Row],[Hire_Date]],IF(Table1[[#This Row],[Employment_Status]]="Exited",Table1[[#This Row],[Exit_Date]],TODAY()))</f>
        <v>5.041666666666667</v>
      </c>
      <c r="S71" t="str" cm="1">
        <f t="array" aca="1" ref="S71" ca="1">_xlfn.IFS(AND(Table1[[#This Row],[Tenure]]&gt;=0,Table1[[#This Row],[Tenure]]&lt;=1),"0-1",AND(Table1[[#This Row],[Tenure]]&gt;1,Table1[[#This Row],[Tenure]]&lt;=3),"1-3",AND(Table1[[#This Row],[Tenure]]&gt;3,Table1[[#This Row],[Tenure]]&lt;=5),"3-5",AND(Table1[[#This Row],[Tenure]]&gt;5,Table1[[#This Row],[Tenure]]&lt;=8),"5-8")</f>
        <v>5-8</v>
      </c>
      <c r="T71" t="str" cm="1">
        <f t="array" ref="T71">_xlfn.IFS(AND(Table1[[#This Row],[Salary]]&gt;=180000, Table1[[#This Row],[Salary]] &lt;=500000),"Low (180k-500k)", AND(Table1[[#This Row],[Salary]]&gt;500000, Table1[[#This Row],[Salary]]&lt;=800000), "Medium (501k-800k)", AND(Table1[[#This Row],[Salary]]&gt;800000, Table1[[#This Row],[Salary]]&lt;1200000), "High (801k - 1.2m)")</f>
        <v>High (801k - 1.2m)</v>
      </c>
    </row>
    <row r="72" spans="1:20" x14ac:dyDescent="0.2">
      <c r="A72">
        <v>71</v>
      </c>
      <c r="B72" t="s">
        <v>29</v>
      </c>
      <c r="C72" t="s">
        <v>20</v>
      </c>
      <c r="D72">
        <v>37</v>
      </c>
      <c r="E72" t="s">
        <v>61</v>
      </c>
      <c r="F72" t="s">
        <v>34</v>
      </c>
      <c r="G72">
        <v>305947</v>
      </c>
      <c r="H72" t="s">
        <v>113</v>
      </c>
      <c r="J72" t="s">
        <v>18</v>
      </c>
      <c r="K72">
        <v>4</v>
      </c>
      <c r="L72">
        <v>36</v>
      </c>
      <c r="M72">
        <v>92</v>
      </c>
      <c r="N72">
        <f>IF(Table1[[#This Row],[Employment_Status]]="Exited",1,0)</f>
        <v>0</v>
      </c>
      <c r="O72" t="str" cm="1">
        <f t="array" ref="O72">_xlfn.IFS(AND(Table1[[#This Row],[Age]]&gt;=22,Table1[[#This Row],[Age]]&lt;=35),"22-35",AND(Table1[[#This Row],[Age]]&gt;=36,Table1[[#This Row],[Age]]&lt;=45),"36-45",AND(Table1[[#This Row],[Age]]&gt;=46,Table1[[#This Row],[Age]]&lt;=55),"46-55")</f>
        <v>36-45</v>
      </c>
      <c r="P72">
        <f>IF(Table1[[#This Row],[Employment_Status]]="active",1,0)</f>
        <v>1</v>
      </c>
      <c r="Q72">
        <v>1</v>
      </c>
      <c r="R72" s="6">
        <f ca="1">YEARFRAC(Table1[[#This Row],[Hire_Date]],IF(Table1[[#This Row],[Employment_Status]]="Exited",Table1[[#This Row],[Exit_Date]],TODAY()))</f>
        <v>4.375</v>
      </c>
      <c r="S72" t="str" cm="1">
        <f t="array" aca="1" ref="S72" ca="1">_xlfn.IFS(AND(Table1[[#This Row],[Tenure]]&gt;=0,Table1[[#This Row],[Tenure]]&lt;=1),"0-1",AND(Table1[[#This Row],[Tenure]]&gt;1,Table1[[#This Row],[Tenure]]&lt;=3),"1-3",AND(Table1[[#This Row],[Tenure]]&gt;3,Table1[[#This Row],[Tenure]]&lt;=5),"3-5",AND(Table1[[#This Row],[Tenure]]&gt;5,Table1[[#This Row],[Tenure]]&lt;=8),"5-8")</f>
        <v>3-5</v>
      </c>
      <c r="T72" t="str" cm="1">
        <f t="array" ref="T72">_xlfn.IFS(AND(Table1[[#This Row],[Salary]]&gt;=180000, Table1[[#This Row],[Salary]] &lt;=500000),"Low (180k-500k)", AND(Table1[[#This Row],[Salary]]&gt;500000, Table1[[#This Row],[Salary]]&lt;=800000), "Medium (501k-800k)", AND(Table1[[#This Row],[Salary]]&gt;800000, Table1[[#This Row],[Salary]]&lt;1200000), "High (801k - 1.2m)")</f>
        <v>Low (180k-500k)</v>
      </c>
    </row>
    <row r="73" spans="1:20" x14ac:dyDescent="0.2">
      <c r="A73">
        <v>72</v>
      </c>
      <c r="B73" t="s">
        <v>24</v>
      </c>
      <c r="C73" t="s">
        <v>20</v>
      </c>
      <c r="D73">
        <v>43</v>
      </c>
      <c r="E73" t="s">
        <v>15</v>
      </c>
      <c r="F73" t="s">
        <v>27</v>
      </c>
      <c r="G73">
        <v>701523</v>
      </c>
      <c r="H73" t="s">
        <v>114</v>
      </c>
      <c r="J73" t="s">
        <v>18</v>
      </c>
      <c r="K73">
        <v>5</v>
      </c>
      <c r="L73">
        <v>36</v>
      </c>
      <c r="M73">
        <v>90</v>
      </c>
      <c r="N73">
        <f>IF(Table1[[#This Row],[Employment_Status]]="Exited",1,0)</f>
        <v>0</v>
      </c>
      <c r="O73" t="str" cm="1">
        <f t="array" ref="O73">_xlfn.IFS(AND(Table1[[#This Row],[Age]]&gt;=22,Table1[[#This Row],[Age]]&lt;=35),"22-35",AND(Table1[[#This Row],[Age]]&gt;=36,Table1[[#This Row],[Age]]&lt;=45),"36-45",AND(Table1[[#This Row],[Age]]&gt;=46,Table1[[#This Row],[Age]]&lt;=55),"46-55")</f>
        <v>36-45</v>
      </c>
      <c r="P73">
        <f>IF(Table1[[#This Row],[Employment_Status]]="active",1,0)</f>
        <v>1</v>
      </c>
      <c r="Q73">
        <v>1</v>
      </c>
      <c r="R73" s="6">
        <f ca="1">YEARFRAC(Table1[[#This Row],[Hire_Date]],IF(Table1[[#This Row],[Employment_Status]]="Exited",Table1[[#This Row],[Exit_Date]],TODAY()))</f>
        <v>3.6749999999999998</v>
      </c>
      <c r="S73" t="str" cm="1">
        <f t="array" aca="1" ref="S73" ca="1">_xlfn.IFS(AND(Table1[[#This Row],[Tenure]]&gt;=0,Table1[[#This Row],[Tenure]]&lt;=1),"0-1",AND(Table1[[#This Row],[Tenure]]&gt;1,Table1[[#This Row],[Tenure]]&lt;=3),"1-3",AND(Table1[[#This Row],[Tenure]]&gt;3,Table1[[#This Row],[Tenure]]&lt;=5),"3-5",AND(Table1[[#This Row],[Tenure]]&gt;5,Table1[[#This Row],[Tenure]]&lt;=8),"5-8")</f>
        <v>3-5</v>
      </c>
      <c r="T73" t="str" cm="1">
        <f t="array" ref="T73">_xlfn.IFS(AND(Table1[[#This Row],[Salary]]&gt;=180000, Table1[[#This Row],[Salary]] &lt;=500000),"Low (180k-500k)", AND(Table1[[#This Row],[Salary]]&gt;500000, Table1[[#This Row],[Salary]]&lt;=800000), "Medium (501k-800k)", AND(Table1[[#This Row],[Salary]]&gt;800000, Table1[[#This Row],[Salary]]&lt;1200000), "High (801k - 1.2m)")</f>
        <v>Medium (501k-800k)</v>
      </c>
    </row>
    <row r="74" spans="1:20" x14ac:dyDescent="0.2">
      <c r="A74">
        <v>73</v>
      </c>
      <c r="B74" t="s">
        <v>24</v>
      </c>
      <c r="C74" t="s">
        <v>20</v>
      </c>
      <c r="D74">
        <v>27</v>
      </c>
      <c r="E74" t="s">
        <v>49</v>
      </c>
      <c r="F74" t="s">
        <v>16</v>
      </c>
      <c r="G74">
        <v>350220</v>
      </c>
      <c r="H74" t="s">
        <v>115</v>
      </c>
      <c r="J74" t="s">
        <v>18</v>
      </c>
      <c r="K74">
        <v>4</v>
      </c>
      <c r="L74">
        <v>43</v>
      </c>
      <c r="M74">
        <v>69</v>
      </c>
      <c r="N74">
        <f>IF(Table1[[#This Row],[Employment_Status]]="Exited",1,0)</f>
        <v>0</v>
      </c>
      <c r="O74" t="str" cm="1">
        <f t="array" ref="O74">_xlfn.IFS(AND(Table1[[#This Row],[Age]]&gt;=22,Table1[[#This Row],[Age]]&lt;=35),"22-35",AND(Table1[[#This Row],[Age]]&gt;=36,Table1[[#This Row],[Age]]&lt;=45),"36-45",AND(Table1[[#This Row],[Age]]&gt;=46,Table1[[#This Row],[Age]]&lt;=55),"46-55")</f>
        <v>22-35</v>
      </c>
      <c r="P74">
        <f>IF(Table1[[#This Row],[Employment_Status]]="active",1,0)</f>
        <v>1</v>
      </c>
      <c r="Q74">
        <v>1</v>
      </c>
      <c r="R74" s="6">
        <f ca="1">YEARFRAC(Table1[[#This Row],[Hire_Date]],IF(Table1[[#This Row],[Employment_Status]]="Exited",Table1[[#This Row],[Exit_Date]],TODAY()))</f>
        <v>6.6722222222222225</v>
      </c>
      <c r="S74" t="str" cm="1">
        <f t="array" aca="1" ref="S74" ca="1">_xlfn.IFS(AND(Table1[[#This Row],[Tenure]]&gt;=0,Table1[[#This Row],[Tenure]]&lt;=1),"0-1",AND(Table1[[#This Row],[Tenure]]&gt;1,Table1[[#This Row],[Tenure]]&lt;=3),"1-3",AND(Table1[[#This Row],[Tenure]]&gt;3,Table1[[#This Row],[Tenure]]&lt;=5),"3-5",AND(Table1[[#This Row],[Tenure]]&gt;5,Table1[[#This Row],[Tenure]]&lt;=8),"5-8")</f>
        <v>5-8</v>
      </c>
      <c r="T74" t="str" cm="1">
        <f t="array" ref="T74">_xlfn.IFS(AND(Table1[[#This Row],[Salary]]&gt;=180000, Table1[[#This Row],[Salary]] &lt;=500000),"Low (180k-500k)", AND(Table1[[#This Row],[Salary]]&gt;500000, Table1[[#This Row],[Salary]]&lt;=800000), "Medium (501k-800k)", AND(Table1[[#This Row],[Salary]]&gt;800000, Table1[[#This Row],[Salary]]&lt;1200000), "High (801k - 1.2m)")</f>
        <v>Low (180k-500k)</v>
      </c>
    </row>
    <row r="75" spans="1:20" x14ac:dyDescent="0.2">
      <c r="A75">
        <v>74</v>
      </c>
      <c r="B75" t="s">
        <v>36</v>
      </c>
      <c r="C75" t="s">
        <v>20</v>
      </c>
      <c r="D75">
        <v>51</v>
      </c>
      <c r="E75" t="s">
        <v>21</v>
      </c>
      <c r="F75" t="s">
        <v>16</v>
      </c>
      <c r="G75">
        <v>614781</v>
      </c>
      <c r="H75" t="s">
        <v>116</v>
      </c>
      <c r="I75" t="s">
        <v>117</v>
      </c>
      <c r="J75" t="s">
        <v>55</v>
      </c>
      <c r="K75">
        <v>3</v>
      </c>
      <c r="L75">
        <v>25</v>
      </c>
      <c r="M75">
        <v>89</v>
      </c>
      <c r="N75">
        <f>IF(Table1[[#This Row],[Employment_Status]]="Exited",1,0)</f>
        <v>1</v>
      </c>
      <c r="O75" t="str" cm="1">
        <f t="array" ref="O75">_xlfn.IFS(AND(Table1[[#This Row],[Age]]&gt;=22,Table1[[#This Row],[Age]]&lt;=35),"22-35",AND(Table1[[#This Row],[Age]]&gt;=36,Table1[[#This Row],[Age]]&lt;=45),"36-45",AND(Table1[[#This Row],[Age]]&gt;=46,Table1[[#This Row],[Age]]&lt;=55),"46-55")</f>
        <v>46-55</v>
      </c>
      <c r="P75">
        <f>IF(Table1[[#This Row],[Employment_Status]]="active",1,0)</f>
        <v>0</v>
      </c>
      <c r="Q75">
        <v>1</v>
      </c>
      <c r="R75" s="6">
        <f ca="1">YEARFRAC(Table1[[#This Row],[Hire_Date]],IF(Table1[[#This Row],[Employment_Status]]="Exited",Table1[[#This Row],[Exit_Date]],TODAY()))</f>
        <v>2.1222222222222222</v>
      </c>
      <c r="S75" t="str" cm="1">
        <f t="array" aca="1" ref="S75" ca="1">_xlfn.IFS(AND(Table1[[#This Row],[Tenure]]&gt;=0,Table1[[#This Row],[Tenure]]&lt;=1),"0-1",AND(Table1[[#This Row],[Tenure]]&gt;1,Table1[[#This Row],[Tenure]]&lt;=3),"1-3",AND(Table1[[#This Row],[Tenure]]&gt;3,Table1[[#This Row],[Tenure]]&lt;=5),"3-5",AND(Table1[[#This Row],[Tenure]]&gt;5,Table1[[#This Row],[Tenure]]&lt;=8),"5-8")</f>
        <v>1-3</v>
      </c>
      <c r="T75" t="str" cm="1">
        <f t="array" ref="T75">_xlfn.IFS(AND(Table1[[#This Row],[Salary]]&gt;=180000, Table1[[#This Row],[Salary]] &lt;=500000),"Low (180k-500k)", AND(Table1[[#This Row],[Salary]]&gt;500000, Table1[[#This Row],[Salary]]&lt;=800000), "Medium (501k-800k)", AND(Table1[[#This Row],[Salary]]&gt;800000, Table1[[#This Row],[Salary]]&lt;1200000), "High (801k - 1.2m)")</f>
        <v>Medium (501k-800k)</v>
      </c>
    </row>
    <row r="76" spans="1:20" x14ac:dyDescent="0.2">
      <c r="A76">
        <v>75</v>
      </c>
      <c r="B76" t="s">
        <v>47</v>
      </c>
      <c r="C76" t="s">
        <v>20</v>
      </c>
      <c r="D76">
        <v>36</v>
      </c>
      <c r="E76" t="s">
        <v>15</v>
      </c>
      <c r="F76" t="s">
        <v>34</v>
      </c>
      <c r="G76">
        <v>1050165</v>
      </c>
      <c r="H76" t="s">
        <v>118</v>
      </c>
      <c r="J76" t="s">
        <v>18</v>
      </c>
      <c r="K76">
        <v>4</v>
      </c>
      <c r="L76">
        <v>47</v>
      </c>
      <c r="M76">
        <v>78</v>
      </c>
      <c r="N76">
        <f>IF(Table1[[#This Row],[Employment_Status]]="Exited",1,0)</f>
        <v>0</v>
      </c>
      <c r="O76" t="str" cm="1">
        <f t="array" ref="O76">_xlfn.IFS(AND(Table1[[#This Row],[Age]]&gt;=22,Table1[[#This Row],[Age]]&lt;=35),"22-35",AND(Table1[[#This Row],[Age]]&gt;=36,Table1[[#This Row],[Age]]&lt;=45),"36-45",AND(Table1[[#This Row],[Age]]&gt;=46,Table1[[#This Row],[Age]]&lt;=55),"46-55")</f>
        <v>36-45</v>
      </c>
      <c r="P76">
        <f>IF(Table1[[#This Row],[Employment_Status]]="active",1,0)</f>
        <v>1</v>
      </c>
      <c r="Q76">
        <v>1</v>
      </c>
      <c r="R76" s="6">
        <f ca="1">YEARFRAC(Table1[[#This Row],[Hire_Date]],IF(Table1[[#This Row],[Employment_Status]]="Exited",Table1[[#This Row],[Exit_Date]],TODAY()))</f>
        <v>6.4138888888888888</v>
      </c>
      <c r="S76" t="str" cm="1">
        <f t="array" aca="1" ref="S76" ca="1">_xlfn.IFS(AND(Table1[[#This Row],[Tenure]]&gt;=0,Table1[[#This Row],[Tenure]]&lt;=1),"0-1",AND(Table1[[#This Row],[Tenure]]&gt;1,Table1[[#This Row],[Tenure]]&lt;=3),"1-3",AND(Table1[[#This Row],[Tenure]]&gt;3,Table1[[#This Row],[Tenure]]&lt;=5),"3-5",AND(Table1[[#This Row],[Tenure]]&gt;5,Table1[[#This Row],[Tenure]]&lt;=8),"5-8")</f>
        <v>5-8</v>
      </c>
      <c r="T76" t="str" cm="1">
        <f t="array" ref="T76">_xlfn.IFS(AND(Table1[[#This Row],[Salary]]&gt;=180000, Table1[[#This Row],[Salary]] &lt;=500000),"Low (180k-500k)", AND(Table1[[#This Row],[Salary]]&gt;500000, Table1[[#This Row],[Salary]]&lt;=800000), "Medium (501k-800k)", AND(Table1[[#This Row],[Salary]]&gt;800000, Table1[[#This Row],[Salary]]&lt;1200000), "High (801k - 1.2m)")</f>
        <v>High (801k - 1.2m)</v>
      </c>
    </row>
    <row r="77" spans="1:20" x14ac:dyDescent="0.2">
      <c r="A77">
        <v>76</v>
      </c>
      <c r="B77" t="s">
        <v>36</v>
      </c>
      <c r="C77" t="s">
        <v>20</v>
      </c>
      <c r="D77">
        <v>33</v>
      </c>
      <c r="E77" t="s">
        <v>45</v>
      </c>
      <c r="F77" t="s">
        <v>22</v>
      </c>
      <c r="G77">
        <v>408808</v>
      </c>
      <c r="H77" t="s">
        <v>119</v>
      </c>
      <c r="J77" t="s">
        <v>18</v>
      </c>
      <c r="K77">
        <v>3</v>
      </c>
      <c r="L77">
        <v>30</v>
      </c>
      <c r="M77">
        <v>99</v>
      </c>
      <c r="N77">
        <f>IF(Table1[[#This Row],[Employment_Status]]="Exited",1,0)</f>
        <v>0</v>
      </c>
      <c r="O77" t="str" cm="1">
        <f t="array" ref="O77">_xlfn.IFS(AND(Table1[[#This Row],[Age]]&gt;=22,Table1[[#This Row],[Age]]&lt;=35),"22-35",AND(Table1[[#This Row],[Age]]&gt;=36,Table1[[#This Row],[Age]]&lt;=45),"36-45",AND(Table1[[#This Row],[Age]]&gt;=46,Table1[[#This Row],[Age]]&lt;=55),"46-55")</f>
        <v>22-35</v>
      </c>
      <c r="P77">
        <f>IF(Table1[[#This Row],[Employment_Status]]="active",1,0)</f>
        <v>1</v>
      </c>
      <c r="Q77">
        <v>1</v>
      </c>
      <c r="R77" s="6">
        <f ca="1">YEARFRAC(Table1[[#This Row],[Hire_Date]],IF(Table1[[#This Row],[Employment_Status]]="Exited",Table1[[#This Row],[Exit_Date]],TODAY()))</f>
        <v>6.0694444444444446</v>
      </c>
      <c r="S77" t="str" cm="1">
        <f t="array" aca="1" ref="S77" ca="1">_xlfn.IFS(AND(Table1[[#This Row],[Tenure]]&gt;=0,Table1[[#This Row],[Tenure]]&lt;=1),"0-1",AND(Table1[[#This Row],[Tenure]]&gt;1,Table1[[#This Row],[Tenure]]&lt;=3),"1-3",AND(Table1[[#This Row],[Tenure]]&gt;3,Table1[[#This Row],[Tenure]]&lt;=5),"3-5",AND(Table1[[#This Row],[Tenure]]&gt;5,Table1[[#This Row],[Tenure]]&lt;=8),"5-8")</f>
        <v>5-8</v>
      </c>
      <c r="T77" t="str" cm="1">
        <f t="array" ref="T77">_xlfn.IFS(AND(Table1[[#This Row],[Salary]]&gt;=180000, Table1[[#This Row],[Salary]] &lt;=500000),"Low (180k-500k)", AND(Table1[[#This Row],[Salary]]&gt;500000, Table1[[#This Row],[Salary]]&lt;=800000), "Medium (501k-800k)", AND(Table1[[#This Row],[Salary]]&gt;800000, Table1[[#This Row],[Salary]]&lt;1200000), "High (801k - 1.2m)")</f>
        <v>Low (180k-500k)</v>
      </c>
    </row>
    <row r="78" spans="1:20" x14ac:dyDescent="0.2">
      <c r="A78">
        <v>77</v>
      </c>
      <c r="B78" t="s">
        <v>33</v>
      </c>
      <c r="C78" t="s">
        <v>20</v>
      </c>
      <c r="D78">
        <v>45</v>
      </c>
      <c r="E78" t="s">
        <v>15</v>
      </c>
      <c r="F78" t="s">
        <v>27</v>
      </c>
      <c r="G78">
        <v>574509</v>
      </c>
      <c r="H78" t="s">
        <v>120</v>
      </c>
      <c r="J78" t="s">
        <v>18</v>
      </c>
      <c r="K78">
        <v>3</v>
      </c>
      <c r="L78">
        <v>4</v>
      </c>
      <c r="M78">
        <v>66</v>
      </c>
      <c r="N78">
        <f>IF(Table1[[#This Row],[Employment_Status]]="Exited",1,0)</f>
        <v>0</v>
      </c>
      <c r="O78" t="str" cm="1">
        <f t="array" ref="O78">_xlfn.IFS(AND(Table1[[#This Row],[Age]]&gt;=22,Table1[[#This Row],[Age]]&lt;=35),"22-35",AND(Table1[[#This Row],[Age]]&gt;=36,Table1[[#This Row],[Age]]&lt;=45),"36-45",AND(Table1[[#This Row],[Age]]&gt;=46,Table1[[#This Row],[Age]]&lt;=55),"46-55")</f>
        <v>36-45</v>
      </c>
      <c r="P78">
        <f>IF(Table1[[#This Row],[Employment_Status]]="active",1,0)</f>
        <v>1</v>
      </c>
      <c r="Q78">
        <v>1</v>
      </c>
      <c r="R78" s="6">
        <f ca="1">YEARFRAC(Table1[[#This Row],[Hire_Date]],IF(Table1[[#This Row],[Employment_Status]]="Exited",Table1[[#This Row],[Exit_Date]],TODAY()))</f>
        <v>4.5388888888888888</v>
      </c>
      <c r="S78" t="str" cm="1">
        <f t="array" aca="1" ref="S78" ca="1">_xlfn.IFS(AND(Table1[[#This Row],[Tenure]]&gt;=0,Table1[[#This Row],[Tenure]]&lt;=1),"0-1",AND(Table1[[#This Row],[Tenure]]&gt;1,Table1[[#This Row],[Tenure]]&lt;=3),"1-3",AND(Table1[[#This Row],[Tenure]]&gt;3,Table1[[#This Row],[Tenure]]&lt;=5),"3-5",AND(Table1[[#This Row],[Tenure]]&gt;5,Table1[[#This Row],[Tenure]]&lt;=8),"5-8")</f>
        <v>3-5</v>
      </c>
      <c r="T78" t="str" cm="1">
        <f t="array" ref="T78">_xlfn.IFS(AND(Table1[[#This Row],[Salary]]&gt;=180000, Table1[[#This Row],[Salary]] &lt;=500000),"Low (180k-500k)", AND(Table1[[#This Row],[Salary]]&gt;500000, Table1[[#This Row],[Salary]]&lt;=800000), "Medium (501k-800k)", AND(Table1[[#This Row],[Salary]]&gt;800000, Table1[[#This Row],[Salary]]&lt;1200000), "High (801k - 1.2m)")</f>
        <v>Medium (501k-800k)</v>
      </c>
    </row>
    <row r="79" spans="1:20" x14ac:dyDescent="0.2">
      <c r="A79">
        <v>78</v>
      </c>
      <c r="B79" t="s">
        <v>31</v>
      </c>
      <c r="C79" t="s">
        <v>20</v>
      </c>
      <c r="D79">
        <v>46</v>
      </c>
      <c r="E79" t="s">
        <v>21</v>
      </c>
      <c r="F79" t="s">
        <v>27</v>
      </c>
      <c r="G79">
        <v>347940</v>
      </c>
      <c r="H79" t="s">
        <v>121</v>
      </c>
      <c r="J79" t="s">
        <v>18</v>
      </c>
      <c r="K79">
        <v>3</v>
      </c>
      <c r="L79">
        <v>12</v>
      </c>
      <c r="M79">
        <v>79</v>
      </c>
      <c r="N79">
        <f>IF(Table1[[#This Row],[Employment_Status]]="Exited",1,0)</f>
        <v>0</v>
      </c>
      <c r="O79" t="str" cm="1">
        <f t="array" ref="O79">_xlfn.IFS(AND(Table1[[#This Row],[Age]]&gt;=22,Table1[[#This Row],[Age]]&lt;=35),"22-35",AND(Table1[[#This Row],[Age]]&gt;=36,Table1[[#This Row],[Age]]&lt;=45),"36-45",AND(Table1[[#This Row],[Age]]&gt;=46,Table1[[#This Row],[Age]]&lt;=55),"46-55")</f>
        <v>46-55</v>
      </c>
      <c r="P79">
        <f>IF(Table1[[#This Row],[Employment_Status]]="active",1,0)</f>
        <v>1</v>
      </c>
      <c r="Q79">
        <v>1</v>
      </c>
      <c r="R79" s="6">
        <f ca="1">YEARFRAC(Table1[[#This Row],[Hire_Date]],IF(Table1[[#This Row],[Employment_Status]]="Exited",Table1[[#This Row],[Exit_Date]],TODAY()))</f>
        <v>3.4027777777777777</v>
      </c>
      <c r="S79" t="str" cm="1">
        <f t="array" aca="1" ref="S79" ca="1">_xlfn.IFS(AND(Table1[[#This Row],[Tenure]]&gt;=0,Table1[[#This Row],[Tenure]]&lt;=1),"0-1",AND(Table1[[#This Row],[Tenure]]&gt;1,Table1[[#This Row],[Tenure]]&lt;=3),"1-3",AND(Table1[[#This Row],[Tenure]]&gt;3,Table1[[#This Row],[Tenure]]&lt;=5),"3-5",AND(Table1[[#This Row],[Tenure]]&gt;5,Table1[[#This Row],[Tenure]]&lt;=8),"5-8")</f>
        <v>3-5</v>
      </c>
      <c r="T79" t="str" cm="1">
        <f t="array" ref="T79">_xlfn.IFS(AND(Table1[[#This Row],[Salary]]&gt;=180000, Table1[[#This Row],[Salary]] &lt;=500000),"Low (180k-500k)", AND(Table1[[#This Row],[Salary]]&gt;500000, Table1[[#This Row],[Salary]]&lt;=800000), "Medium (501k-800k)", AND(Table1[[#This Row],[Salary]]&gt;800000, Table1[[#This Row],[Salary]]&lt;1200000), "High (801k - 1.2m)")</f>
        <v>Low (180k-500k)</v>
      </c>
    </row>
    <row r="80" spans="1:20" x14ac:dyDescent="0.2">
      <c r="A80">
        <v>79</v>
      </c>
      <c r="B80" t="s">
        <v>36</v>
      </c>
      <c r="C80" t="s">
        <v>14</v>
      </c>
      <c r="D80">
        <v>30</v>
      </c>
      <c r="E80" t="s">
        <v>61</v>
      </c>
      <c r="F80" t="s">
        <v>22</v>
      </c>
      <c r="G80">
        <v>293612</v>
      </c>
      <c r="H80" t="s">
        <v>32</v>
      </c>
      <c r="J80" t="s">
        <v>18</v>
      </c>
      <c r="K80">
        <v>4</v>
      </c>
      <c r="L80">
        <v>4</v>
      </c>
      <c r="M80">
        <v>73</v>
      </c>
      <c r="N80">
        <f>IF(Table1[[#This Row],[Employment_Status]]="Exited",1,0)</f>
        <v>0</v>
      </c>
      <c r="O80" t="str" cm="1">
        <f t="array" ref="O80">_xlfn.IFS(AND(Table1[[#This Row],[Age]]&gt;=22,Table1[[#This Row],[Age]]&lt;=35),"22-35",AND(Table1[[#This Row],[Age]]&gt;=36,Table1[[#This Row],[Age]]&lt;=45),"36-45",AND(Table1[[#This Row],[Age]]&gt;=46,Table1[[#This Row],[Age]]&lt;=55),"46-55")</f>
        <v>22-35</v>
      </c>
      <c r="P80">
        <f>IF(Table1[[#This Row],[Employment_Status]]="active",1,0)</f>
        <v>1</v>
      </c>
      <c r="Q80">
        <v>1</v>
      </c>
      <c r="R80" s="6">
        <f ca="1">YEARFRAC(Table1[[#This Row],[Hire_Date]],IF(Table1[[#This Row],[Employment_Status]]="Exited",Table1[[#This Row],[Exit_Date]],TODAY()))</f>
        <v>6.7611111111111111</v>
      </c>
      <c r="S80" t="str" cm="1">
        <f t="array" aca="1" ref="S80" ca="1">_xlfn.IFS(AND(Table1[[#This Row],[Tenure]]&gt;=0,Table1[[#This Row],[Tenure]]&lt;=1),"0-1",AND(Table1[[#This Row],[Tenure]]&gt;1,Table1[[#This Row],[Tenure]]&lt;=3),"1-3",AND(Table1[[#This Row],[Tenure]]&gt;3,Table1[[#This Row],[Tenure]]&lt;=5),"3-5",AND(Table1[[#This Row],[Tenure]]&gt;5,Table1[[#This Row],[Tenure]]&lt;=8),"5-8")</f>
        <v>5-8</v>
      </c>
      <c r="T80" t="str" cm="1">
        <f t="array" ref="T80">_xlfn.IFS(AND(Table1[[#This Row],[Salary]]&gt;=180000, Table1[[#This Row],[Salary]] &lt;=500000),"Low (180k-500k)", AND(Table1[[#This Row],[Salary]]&gt;500000, Table1[[#This Row],[Salary]]&lt;=800000), "Medium (501k-800k)", AND(Table1[[#This Row],[Salary]]&gt;800000, Table1[[#This Row],[Salary]]&lt;1200000), "High (801k - 1.2m)")</f>
        <v>Low (180k-500k)</v>
      </c>
    </row>
    <row r="81" spans="1:20" x14ac:dyDescent="0.2">
      <c r="A81">
        <v>80</v>
      </c>
      <c r="B81" t="s">
        <v>33</v>
      </c>
      <c r="C81" t="s">
        <v>14</v>
      </c>
      <c r="D81">
        <v>28</v>
      </c>
      <c r="E81" t="s">
        <v>15</v>
      </c>
      <c r="F81" t="s">
        <v>34</v>
      </c>
      <c r="G81">
        <v>874779</v>
      </c>
      <c r="H81" t="s">
        <v>122</v>
      </c>
      <c r="J81" t="s">
        <v>18</v>
      </c>
      <c r="K81">
        <v>5</v>
      </c>
      <c r="L81">
        <v>38</v>
      </c>
      <c r="M81">
        <v>96</v>
      </c>
      <c r="N81">
        <f>IF(Table1[[#This Row],[Employment_Status]]="Exited",1,0)</f>
        <v>0</v>
      </c>
      <c r="O81" t="str" cm="1">
        <f t="array" ref="O81">_xlfn.IFS(AND(Table1[[#This Row],[Age]]&gt;=22,Table1[[#This Row],[Age]]&lt;=35),"22-35",AND(Table1[[#This Row],[Age]]&gt;=36,Table1[[#This Row],[Age]]&lt;=45),"36-45",AND(Table1[[#This Row],[Age]]&gt;=46,Table1[[#This Row],[Age]]&lt;=55),"46-55")</f>
        <v>22-35</v>
      </c>
      <c r="P81">
        <f>IF(Table1[[#This Row],[Employment_Status]]="active",1,0)</f>
        <v>1</v>
      </c>
      <c r="Q81">
        <v>1</v>
      </c>
      <c r="R81" s="6">
        <f ca="1">YEARFRAC(Table1[[#This Row],[Hire_Date]],IF(Table1[[#This Row],[Employment_Status]]="Exited",Table1[[#This Row],[Exit_Date]],TODAY()))</f>
        <v>6.8083333333333336</v>
      </c>
      <c r="S81" t="str" cm="1">
        <f t="array" aca="1" ref="S81" ca="1">_xlfn.IFS(AND(Table1[[#This Row],[Tenure]]&gt;=0,Table1[[#This Row],[Tenure]]&lt;=1),"0-1",AND(Table1[[#This Row],[Tenure]]&gt;1,Table1[[#This Row],[Tenure]]&lt;=3),"1-3",AND(Table1[[#This Row],[Tenure]]&gt;3,Table1[[#This Row],[Tenure]]&lt;=5),"3-5",AND(Table1[[#This Row],[Tenure]]&gt;5,Table1[[#This Row],[Tenure]]&lt;=8),"5-8")</f>
        <v>5-8</v>
      </c>
      <c r="T81" t="str" cm="1">
        <f t="array" ref="T81">_xlfn.IFS(AND(Table1[[#This Row],[Salary]]&gt;=180000, Table1[[#This Row],[Salary]] &lt;=500000),"Low (180k-500k)", AND(Table1[[#This Row],[Salary]]&gt;500000, Table1[[#This Row],[Salary]]&lt;=800000), "Medium (501k-800k)", AND(Table1[[#This Row],[Salary]]&gt;800000, Table1[[#This Row],[Salary]]&lt;1200000), "High (801k - 1.2m)")</f>
        <v>High (801k - 1.2m)</v>
      </c>
    </row>
    <row r="82" spans="1:20" x14ac:dyDescent="0.2">
      <c r="A82">
        <v>81</v>
      </c>
      <c r="B82" t="s">
        <v>24</v>
      </c>
      <c r="C82" t="s">
        <v>14</v>
      </c>
      <c r="D82">
        <v>22</v>
      </c>
      <c r="E82" t="s">
        <v>21</v>
      </c>
      <c r="F82" t="s">
        <v>34</v>
      </c>
      <c r="G82">
        <v>277450</v>
      </c>
      <c r="H82" t="s">
        <v>123</v>
      </c>
      <c r="J82" t="s">
        <v>18</v>
      </c>
      <c r="K82">
        <v>2</v>
      </c>
      <c r="L82">
        <v>3</v>
      </c>
      <c r="M82">
        <v>69</v>
      </c>
      <c r="N82">
        <f>IF(Table1[[#This Row],[Employment_Status]]="Exited",1,0)</f>
        <v>0</v>
      </c>
      <c r="O82" t="str" cm="1">
        <f t="array" ref="O82">_xlfn.IFS(AND(Table1[[#This Row],[Age]]&gt;=22,Table1[[#This Row],[Age]]&lt;=35),"22-35",AND(Table1[[#This Row],[Age]]&gt;=36,Table1[[#This Row],[Age]]&lt;=45),"36-45",AND(Table1[[#This Row],[Age]]&gt;=46,Table1[[#This Row],[Age]]&lt;=55),"46-55")</f>
        <v>22-35</v>
      </c>
      <c r="P82">
        <f>IF(Table1[[#This Row],[Employment_Status]]="active",1,0)</f>
        <v>1</v>
      </c>
      <c r="Q82">
        <v>1</v>
      </c>
      <c r="R82" s="6">
        <f ca="1">YEARFRAC(Table1[[#This Row],[Hire_Date]],IF(Table1[[#This Row],[Employment_Status]]="Exited",Table1[[#This Row],[Exit_Date]],TODAY()))</f>
        <v>4.4694444444444441</v>
      </c>
      <c r="S82" t="str" cm="1">
        <f t="array" aca="1" ref="S82" ca="1">_xlfn.IFS(AND(Table1[[#This Row],[Tenure]]&gt;=0,Table1[[#This Row],[Tenure]]&lt;=1),"0-1",AND(Table1[[#This Row],[Tenure]]&gt;1,Table1[[#This Row],[Tenure]]&lt;=3),"1-3",AND(Table1[[#This Row],[Tenure]]&gt;3,Table1[[#This Row],[Tenure]]&lt;=5),"3-5",AND(Table1[[#This Row],[Tenure]]&gt;5,Table1[[#This Row],[Tenure]]&lt;=8),"5-8")</f>
        <v>3-5</v>
      </c>
      <c r="T82" t="str" cm="1">
        <f t="array" ref="T82">_xlfn.IFS(AND(Table1[[#This Row],[Salary]]&gt;=180000, Table1[[#This Row],[Salary]] &lt;=500000),"Low (180k-500k)", AND(Table1[[#This Row],[Salary]]&gt;500000, Table1[[#This Row],[Salary]]&lt;=800000), "Medium (501k-800k)", AND(Table1[[#This Row],[Salary]]&gt;800000, Table1[[#This Row],[Salary]]&lt;1200000), "High (801k - 1.2m)")</f>
        <v>Low (180k-500k)</v>
      </c>
    </row>
    <row r="83" spans="1:20" x14ac:dyDescent="0.2">
      <c r="A83">
        <v>82</v>
      </c>
      <c r="B83" t="s">
        <v>31</v>
      </c>
      <c r="C83" t="s">
        <v>14</v>
      </c>
      <c r="D83">
        <v>23</v>
      </c>
      <c r="E83" t="s">
        <v>15</v>
      </c>
      <c r="F83" t="s">
        <v>16</v>
      </c>
      <c r="G83">
        <v>523326</v>
      </c>
      <c r="H83" t="s">
        <v>124</v>
      </c>
      <c r="J83" t="s">
        <v>18</v>
      </c>
      <c r="K83">
        <v>3</v>
      </c>
      <c r="L83">
        <v>33</v>
      </c>
      <c r="M83">
        <v>88</v>
      </c>
      <c r="N83">
        <f>IF(Table1[[#This Row],[Employment_Status]]="Exited",1,0)</f>
        <v>0</v>
      </c>
      <c r="O83" t="str" cm="1">
        <f t="array" ref="O83">_xlfn.IFS(AND(Table1[[#This Row],[Age]]&gt;=22,Table1[[#This Row],[Age]]&lt;=35),"22-35",AND(Table1[[#This Row],[Age]]&gt;=36,Table1[[#This Row],[Age]]&lt;=45),"36-45",AND(Table1[[#This Row],[Age]]&gt;=46,Table1[[#This Row],[Age]]&lt;=55),"46-55")</f>
        <v>22-35</v>
      </c>
      <c r="P83">
        <f>IF(Table1[[#This Row],[Employment_Status]]="active",1,0)</f>
        <v>1</v>
      </c>
      <c r="Q83">
        <v>1</v>
      </c>
      <c r="R83" s="6">
        <f ca="1">YEARFRAC(Table1[[#This Row],[Hire_Date]],IF(Table1[[#This Row],[Employment_Status]]="Exited",Table1[[#This Row],[Exit_Date]],TODAY()))</f>
        <v>5.9722222222222223</v>
      </c>
      <c r="S83" t="str" cm="1">
        <f t="array" aca="1" ref="S83" ca="1">_xlfn.IFS(AND(Table1[[#This Row],[Tenure]]&gt;=0,Table1[[#This Row],[Tenure]]&lt;=1),"0-1",AND(Table1[[#This Row],[Tenure]]&gt;1,Table1[[#This Row],[Tenure]]&lt;=3),"1-3",AND(Table1[[#This Row],[Tenure]]&gt;3,Table1[[#This Row],[Tenure]]&lt;=5),"3-5",AND(Table1[[#This Row],[Tenure]]&gt;5,Table1[[#This Row],[Tenure]]&lt;=8),"5-8")</f>
        <v>5-8</v>
      </c>
      <c r="T83" t="str" cm="1">
        <f t="array" ref="T83">_xlfn.IFS(AND(Table1[[#This Row],[Salary]]&gt;=180000, Table1[[#This Row],[Salary]] &lt;=500000),"Low (180k-500k)", AND(Table1[[#This Row],[Salary]]&gt;500000, Table1[[#This Row],[Salary]]&lt;=800000), "Medium (501k-800k)", AND(Table1[[#This Row],[Salary]]&gt;800000, Table1[[#This Row],[Salary]]&lt;1200000), "High (801k - 1.2m)")</f>
        <v>Medium (501k-800k)</v>
      </c>
    </row>
    <row r="84" spans="1:20" x14ac:dyDescent="0.2">
      <c r="A84">
        <v>83</v>
      </c>
      <c r="B84" t="s">
        <v>29</v>
      </c>
      <c r="C84" t="s">
        <v>14</v>
      </c>
      <c r="D84">
        <v>53</v>
      </c>
      <c r="E84" t="s">
        <v>21</v>
      </c>
      <c r="F84" t="s">
        <v>22</v>
      </c>
      <c r="G84">
        <v>368185</v>
      </c>
      <c r="H84" t="s">
        <v>125</v>
      </c>
      <c r="J84" t="s">
        <v>18</v>
      </c>
      <c r="K84">
        <v>3</v>
      </c>
      <c r="L84">
        <v>18</v>
      </c>
      <c r="M84">
        <v>78</v>
      </c>
      <c r="N84">
        <f>IF(Table1[[#This Row],[Employment_Status]]="Exited",1,0)</f>
        <v>0</v>
      </c>
      <c r="O84" t="str" cm="1">
        <f t="array" ref="O84">_xlfn.IFS(AND(Table1[[#This Row],[Age]]&gt;=22,Table1[[#This Row],[Age]]&lt;=35),"22-35",AND(Table1[[#This Row],[Age]]&gt;=36,Table1[[#This Row],[Age]]&lt;=45),"36-45",AND(Table1[[#This Row],[Age]]&gt;=46,Table1[[#This Row],[Age]]&lt;=55),"46-55")</f>
        <v>46-55</v>
      </c>
      <c r="P84">
        <f>IF(Table1[[#This Row],[Employment_Status]]="active",1,0)</f>
        <v>1</v>
      </c>
      <c r="Q84">
        <v>1</v>
      </c>
      <c r="R84" s="6">
        <f ca="1">YEARFRAC(Table1[[#This Row],[Hire_Date]],IF(Table1[[#This Row],[Employment_Status]]="Exited",Table1[[#This Row],[Exit_Date]],TODAY()))</f>
        <v>4.7305555555555552</v>
      </c>
      <c r="S84" t="str" cm="1">
        <f t="array" aca="1" ref="S84" ca="1">_xlfn.IFS(AND(Table1[[#This Row],[Tenure]]&gt;=0,Table1[[#This Row],[Tenure]]&lt;=1),"0-1",AND(Table1[[#This Row],[Tenure]]&gt;1,Table1[[#This Row],[Tenure]]&lt;=3),"1-3",AND(Table1[[#This Row],[Tenure]]&gt;3,Table1[[#This Row],[Tenure]]&lt;=5),"3-5",AND(Table1[[#This Row],[Tenure]]&gt;5,Table1[[#This Row],[Tenure]]&lt;=8),"5-8")</f>
        <v>3-5</v>
      </c>
      <c r="T84" t="str" cm="1">
        <f t="array" ref="T84">_xlfn.IFS(AND(Table1[[#This Row],[Salary]]&gt;=180000, Table1[[#This Row],[Salary]] &lt;=500000),"Low (180k-500k)", AND(Table1[[#This Row],[Salary]]&gt;500000, Table1[[#This Row],[Salary]]&lt;=800000), "Medium (501k-800k)", AND(Table1[[#This Row],[Salary]]&gt;800000, Table1[[#This Row],[Salary]]&lt;1200000), "High (801k - 1.2m)")</f>
        <v>Low (180k-500k)</v>
      </c>
    </row>
    <row r="85" spans="1:20" x14ac:dyDescent="0.2">
      <c r="A85">
        <v>84</v>
      </c>
      <c r="B85" t="s">
        <v>58</v>
      </c>
      <c r="C85" t="s">
        <v>14</v>
      </c>
      <c r="D85">
        <v>33</v>
      </c>
      <c r="E85" t="s">
        <v>15</v>
      </c>
      <c r="F85" t="s">
        <v>34</v>
      </c>
      <c r="G85">
        <v>1135541</v>
      </c>
      <c r="H85" t="s">
        <v>126</v>
      </c>
      <c r="J85" t="s">
        <v>18</v>
      </c>
      <c r="K85">
        <v>3</v>
      </c>
      <c r="L85">
        <v>31</v>
      </c>
      <c r="M85">
        <v>86</v>
      </c>
      <c r="N85">
        <f>IF(Table1[[#This Row],[Employment_Status]]="Exited",1,0)</f>
        <v>0</v>
      </c>
      <c r="O85" t="str" cm="1">
        <f t="array" ref="O85">_xlfn.IFS(AND(Table1[[#This Row],[Age]]&gt;=22,Table1[[#This Row],[Age]]&lt;=35),"22-35",AND(Table1[[#This Row],[Age]]&gt;=36,Table1[[#This Row],[Age]]&lt;=45),"36-45",AND(Table1[[#This Row],[Age]]&gt;=46,Table1[[#This Row],[Age]]&lt;=55),"46-55")</f>
        <v>22-35</v>
      </c>
      <c r="P85">
        <f>IF(Table1[[#This Row],[Employment_Status]]="active",1,0)</f>
        <v>1</v>
      </c>
      <c r="Q85">
        <v>1</v>
      </c>
      <c r="R85" s="6">
        <f ca="1">YEARFRAC(Table1[[#This Row],[Hire_Date]],IF(Table1[[#This Row],[Employment_Status]]="Exited",Table1[[#This Row],[Exit_Date]],TODAY()))</f>
        <v>6.1055555555555552</v>
      </c>
      <c r="S85" t="str" cm="1">
        <f t="array" aca="1" ref="S85" ca="1">_xlfn.IFS(AND(Table1[[#This Row],[Tenure]]&gt;=0,Table1[[#This Row],[Tenure]]&lt;=1),"0-1",AND(Table1[[#This Row],[Tenure]]&gt;1,Table1[[#This Row],[Tenure]]&lt;=3),"1-3",AND(Table1[[#This Row],[Tenure]]&gt;3,Table1[[#This Row],[Tenure]]&lt;=5),"3-5",AND(Table1[[#This Row],[Tenure]]&gt;5,Table1[[#This Row],[Tenure]]&lt;=8),"5-8")</f>
        <v>5-8</v>
      </c>
      <c r="T85" t="str" cm="1">
        <f t="array" ref="T85">_xlfn.IFS(AND(Table1[[#This Row],[Salary]]&gt;=180000, Table1[[#This Row],[Salary]] &lt;=500000),"Low (180k-500k)", AND(Table1[[#This Row],[Salary]]&gt;500000, Table1[[#This Row],[Salary]]&lt;=800000), "Medium (501k-800k)", AND(Table1[[#This Row],[Salary]]&gt;800000, Table1[[#This Row],[Salary]]&lt;1200000), "High (801k - 1.2m)")</f>
        <v>High (801k - 1.2m)</v>
      </c>
    </row>
    <row r="86" spans="1:20" x14ac:dyDescent="0.2">
      <c r="A86">
        <v>85</v>
      </c>
      <c r="B86" t="s">
        <v>58</v>
      </c>
      <c r="C86" t="s">
        <v>14</v>
      </c>
      <c r="D86">
        <v>48</v>
      </c>
      <c r="E86" t="s">
        <v>61</v>
      </c>
      <c r="F86" t="s">
        <v>22</v>
      </c>
      <c r="G86">
        <v>287496</v>
      </c>
      <c r="H86" t="s">
        <v>127</v>
      </c>
      <c r="J86" t="s">
        <v>18</v>
      </c>
      <c r="K86">
        <v>3</v>
      </c>
      <c r="L86">
        <v>41</v>
      </c>
      <c r="M86">
        <v>98</v>
      </c>
      <c r="N86">
        <f>IF(Table1[[#This Row],[Employment_Status]]="Exited",1,0)</f>
        <v>0</v>
      </c>
      <c r="O86" t="str" cm="1">
        <f t="array" ref="O86">_xlfn.IFS(AND(Table1[[#This Row],[Age]]&gt;=22,Table1[[#This Row],[Age]]&lt;=35),"22-35",AND(Table1[[#This Row],[Age]]&gt;=36,Table1[[#This Row],[Age]]&lt;=45),"36-45",AND(Table1[[#This Row],[Age]]&gt;=46,Table1[[#This Row],[Age]]&lt;=55),"46-55")</f>
        <v>46-55</v>
      </c>
      <c r="P86">
        <f>IF(Table1[[#This Row],[Employment_Status]]="active",1,0)</f>
        <v>1</v>
      </c>
      <c r="Q86">
        <v>1</v>
      </c>
      <c r="R86" s="6">
        <f ca="1">YEARFRAC(Table1[[#This Row],[Hire_Date]],IF(Table1[[#This Row],[Employment_Status]]="Exited",Table1[[#This Row],[Exit_Date]],TODAY()))</f>
        <v>4.3638888888888889</v>
      </c>
      <c r="S86" t="str" cm="1">
        <f t="array" aca="1" ref="S86" ca="1">_xlfn.IFS(AND(Table1[[#This Row],[Tenure]]&gt;=0,Table1[[#This Row],[Tenure]]&lt;=1),"0-1",AND(Table1[[#This Row],[Tenure]]&gt;1,Table1[[#This Row],[Tenure]]&lt;=3),"1-3",AND(Table1[[#This Row],[Tenure]]&gt;3,Table1[[#This Row],[Tenure]]&lt;=5),"3-5",AND(Table1[[#This Row],[Tenure]]&gt;5,Table1[[#This Row],[Tenure]]&lt;=8),"5-8")</f>
        <v>3-5</v>
      </c>
      <c r="T86" t="str" cm="1">
        <f t="array" ref="T86">_xlfn.IFS(AND(Table1[[#This Row],[Salary]]&gt;=180000, Table1[[#This Row],[Salary]] &lt;=500000),"Low (180k-500k)", AND(Table1[[#This Row],[Salary]]&gt;500000, Table1[[#This Row],[Salary]]&lt;=800000), "Medium (501k-800k)", AND(Table1[[#This Row],[Salary]]&gt;800000, Table1[[#This Row],[Salary]]&lt;1200000), "High (801k - 1.2m)")</f>
        <v>Low (180k-500k)</v>
      </c>
    </row>
    <row r="87" spans="1:20" x14ac:dyDescent="0.2">
      <c r="A87">
        <v>86</v>
      </c>
      <c r="B87" t="s">
        <v>33</v>
      </c>
      <c r="C87" t="s">
        <v>14</v>
      </c>
      <c r="D87">
        <v>35</v>
      </c>
      <c r="E87" t="s">
        <v>15</v>
      </c>
      <c r="F87" t="s">
        <v>16</v>
      </c>
      <c r="G87">
        <v>571324</v>
      </c>
      <c r="H87" t="s">
        <v>128</v>
      </c>
      <c r="J87" t="s">
        <v>18</v>
      </c>
      <c r="K87">
        <v>4</v>
      </c>
      <c r="L87">
        <v>14</v>
      </c>
      <c r="M87">
        <v>75</v>
      </c>
      <c r="N87">
        <f>IF(Table1[[#This Row],[Employment_Status]]="Exited",1,0)</f>
        <v>0</v>
      </c>
      <c r="O87" t="str" cm="1">
        <f t="array" ref="O87">_xlfn.IFS(AND(Table1[[#This Row],[Age]]&gt;=22,Table1[[#This Row],[Age]]&lt;=35),"22-35",AND(Table1[[#This Row],[Age]]&gt;=36,Table1[[#This Row],[Age]]&lt;=45),"36-45",AND(Table1[[#This Row],[Age]]&gt;=46,Table1[[#This Row],[Age]]&lt;=55),"46-55")</f>
        <v>22-35</v>
      </c>
      <c r="P87">
        <f>IF(Table1[[#This Row],[Employment_Status]]="active",1,0)</f>
        <v>1</v>
      </c>
      <c r="Q87">
        <v>1</v>
      </c>
      <c r="R87" s="6">
        <f ca="1">YEARFRAC(Table1[[#This Row],[Hire_Date]],IF(Table1[[#This Row],[Employment_Status]]="Exited",Table1[[#This Row],[Exit_Date]],TODAY()))</f>
        <v>2.9305555555555554</v>
      </c>
      <c r="S87" t="str" cm="1">
        <f t="array" aca="1" ref="S87" ca="1">_xlfn.IFS(AND(Table1[[#This Row],[Tenure]]&gt;=0,Table1[[#This Row],[Tenure]]&lt;=1),"0-1",AND(Table1[[#This Row],[Tenure]]&gt;1,Table1[[#This Row],[Tenure]]&lt;=3),"1-3",AND(Table1[[#This Row],[Tenure]]&gt;3,Table1[[#This Row],[Tenure]]&lt;=5),"3-5",AND(Table1[[#This Row],[Tenure]]&gt;5,Table1[[#This Row],[Tenure]]&lt;=8),"5-8")</f>
        <v>1-3</v>
      </c>
      <c r="T87" t="str" cm="1">
        <f t="array" ref="T87">_xlfn.IFS(AND(Table1[[#This Row],[Salary]]&gt;=180000, Table1[[#This Row],[Salary]] &lt;=500000),"Low (180k-500k)", AND(Table1[[#This Row],[Salary]]&gt;500000, Table1[[#This Row],[Salary]]&lt;=800000), "Medium (501k-800k)", AND(Table1[[#This Row],[Salary]]&gt;800000, Table1[[#This Row],[Salary]]&lt;1200000), "High (801k - 1.2m)")</f>
        <v>Medium (501k-800k)</v>
      </c>
    </row>
    <row r="88" spans="1:20" x14ac:dyDescent="0.2">
      <c r="A88">
        <v>87</v>
      </c>
      <c r="B88" t="s">
        <v>19</v>
      </c>
      <c r="C88" t="s">
        <v>14</v>
      </c>
      <c r="D88">
        <v>26</v>
      </c>
      <c r="E88" t="s">
        <v>15</v>
      </c>
      <c r="F88" t="s">
        <v>27</v>
      </c>
      <c r="G88">
        <v>1113946</v>
      </c>
      <c r="H88" t="s">
        <v>129</v>
      </c>
      <c r="J88" t="s">
        <v>18</v>
      </c>
      <c r="K88">
        <v>5</v>
      </c>
      <c r="L88">
        <v>32</v>
      </c>
      <c r="M88">
        <v>95</v>
      </c>
      <c r="N88">
        <f>IF(Table1[[#This Row],[Employment_Status]]="Exited",1,0)</f>
        <v>0</v>
      </c>
      <c r="O88" t="str" cm="1">
        <f t="array" ref="O88">_xlfn.IFS(AND(Table1[[#This Row],[Age]]&gt;=22,Table1[[#This Row],[Age]]&lt;=35),"22-35",AND(Table1[[#This Row],[Age]]&gt;=36,Table1[[#This Row],[Age]]&lt;=45),"36-45",AND(Table1[[#This Row],[Age]]&gt;=46,Table1[[#This Row],[Age]]&lt;=55),"46-55")</f>
        <v>22-35</v>
      </c>
      <c r="P88">
        <f>IF(Table1[[#This Row],[Employment_Status]]="active",1,0)</f>
        <v>1</v>
      </c>
      <c r="Q88">
        <v>1</v>
      </c>
      <c r="R88" s="6">
        <f ca="1">YEARFRAC(Table1[[#This Row],[Hire_Date]],IF(Table1[[#This Row],[Employment_Status]]="Exited",Table1[[#This Row],[Exit_Date]],TODAY()))</f>
        <v>5.9861111111111107</v>
      </c>
      <c r="S88" t="str" cm="1">
        <f t="array" aca="1" ref="S88" ca="1">_xlfn.IFS(AND(Table1[[#This Row],[Tenure]]&gt;=0,Table1[[#This Row],[Tenure]]&lt;=1),"0-1",AND(Table1[[#This Row],[Tenure]]&gt;1,Table1[[#This Row],[Tenure]]&lt;=3),"1-3",AND(Table1[[#This Row],[Tenure]]&gt;3,Table1[[#This Row],[Tenure]]&lt;=5),"3-5",AND(Table1[[#This Row],[Tenure]]&gt;5,Table1[[#This Row],[Tenure]]&lt;=8),"5-8")</f>
        <v>5-8</v>
      </c>
      <c r="T88" t="str" cm="1">
        <f t="array" ref="T88">_xlfn.IFS(AND(Table1[[#This Row],[Salary]]&gt;=180000, Table1[[#This Row],[Salary]] &lt;=500000),"Low (180k-500k)", AND(Table1[[#This Row],[Salary]]&gt;500000, Table1[[#This Row],[Salary]]&lt;=800000), "Medium (501k-800k)", AND(Table1[[#This Row],[Salary]]&gt;800000, Table1[[#This Row],[Salary]]&lt;1200000), "High (801k - 1.2m)")</f>
        <v>High (801k - 1.2m)</v>
      </c>
    </row>
    <row r="89" spans="1:20" x14ac:dyDescent="0.2">
      <c r="A89">
        <v>88</v>
      </c>
      <c r="B89" t="s">
        <v>58</v>
      </c>
      <c r="C89" t="s">
        <v>20</v>
      </c>
      <c r="D89">
        <v>42</v>
      </c>
      <c r="E89" t="s">
        <v>15</v>
      </c>
      <c r="F89" t="s">
        <v>34</v>
      </c>
      <c r="G89">
        <v>521871</v>
      </c>
      <c r="H89" t="s">
        <v>130</v>
      </c>
      <c r="J89" t="s">
        <v>18</v>
      </c>
      <c r="K89">
        <v>2</v>
      </c>
      <c r="L89">
        <v>18</v>
      </c>
      <c r="M89">
        <v>86</v>
      </c>
      <c r="N89">
        <f>IF(Table1[[#This Row],[Employment_Status]]="Exited",1,0)</f>
        <v>0</v>
      </c>
      <c r="O89" t="str" cm="1">
        <f t="array" ref="O89">_xlfn.IFS(AND(Table1[[#This Row],[Age]]&gt;=22,Table1[[#This Row],[Age]]&lt;=35),"22-35",AND(Table1[[#This Row],[Age]]&gt;=36,Table1[[#This Row],[Age]]&lt;=45),"36-45",AND(Table1[[#This Row],[Age]]&gt;=46,Table1[[#This Row],[Age]]&lt;=55),"46-55")</f>
        <v>36-45</v>
      </c>
      <c r="P89">
        <f>IF(Table1[[#This Row],[Employment_Status]]="active",1,0)</f>
        <v>1</v>
      </c>
      <c r="Q89">
        <v>1</v>
      </c>
      <c r="R89" s="6">
        <f ca="1">YEARFRAC(Table1[[#This Row],[Hire_Date]],IF(Table1[[#This Row],[Employment_Status]]="Exited",Table1[[#This Row],[Exit_Date]],TODAY()))</f>
        <v>5.166666666666667</v>
      </c>
      <c r="S89" t="str" cm="1">
        <f t="array" aca="1" ref="S89" ca="1">_xlfn.IFS(AND(Table1[[#This Row],[Tenure]]&gt;=0,Table1[[#This Row],[Tenure]]&lt;=1),"0-1",AND(Table1[[#This Row],[Tenure]]&gt;1,Table1[[#This Row],[Tenure]]&lt;=3),"1-3",AND(Table1[[#This Row],[Tenure]]&gt;3,Table1[[#This Row],[Tenure]]&lt;=5),"3-5",AND(Table1[[#This Row],[Tenure]]&gt;5,Table1[[#This Row],[Tenure]]&lt;=8),"5-8")</f>
        <v>5-8</v>
      </c>
      <c r="T89" t="str" cm="1">
        <f t="array" ref="T89">_xlfn.IFS(AND(Table1[[#This Row],[Salary]]&gt;=180000, Table1[[#This Row],[Salary]] &lt;=500000),"Low (180k-500k)", AND(Table1[[#This Row],[Salary]]&gt;500000, Table1[[#This Row],[Salary]]&lt;=800000), "Medium (501k-800k)", AND(Table1[[#This Row],[Salary]]&gt;800000, Table1[[#This Row],[Salary]]&lt;1200000), "High (801k - 1.2m)")</f>
        <v>Medium (501k-800k)</v>
      </c>
    </row>
    <row r="90" spans="1:20" x14ac:dyDescent="0.2">
      <c r="A90">
        <v>89</v>
      </c>
      <c r="B90" t="s">
        <v>29</v>
      </c>
      <c r="C90" t="s">
        <v>20</v>
      </c>
      <c r="D90">
        <v>42</v>
      </c>
      <c r="E90" t="s">
        <v>49</v>
      </c>
      <c r="F90" t="s">
        <v>27</v>
      </c>
      <c r="G90">
        <v>567787</v>
      </c>
      <c r="H90" t="s">
        <v>131</v>
      </c>
      <c r="J90" t="s">
        <v>18</v>
      </c>
      <c r="K90">
        <v>3</v>
      </c>
      <c r="L90">
        <v>41</v>
      </c>
      <c r="M90">
        <v>70</v>
      </c>
      <c r="N90">
        <f>IF(Table1[[#This Row],[Employment_Status]]="Exited",1,0)</f>
        <v>0</v>
      </c>
      <c r="O90" t="str" cm="1">
        <f t="array" ref="O90">_xlfn.IFS(AND(Table1[[#This Row],[Age]]&gt;=22,Table1[[#This Row],[Age]]&lt;=35),"22-35",AND(Table1[[#This Row],[Age]]&gt;=36,Table1[[#This Row],[Age]]&lt;=45),"36-45",AND(Table1[[#This Row],[Age]]&gt;=46,Table1[[#This Row],[Age]]&lt;=55),"46-55")</f>
        <v>36-45</v>
      </c>
      <c r="P90">
        <f>IF(Table1[[#This Row],[Employment_Status]]="active",1,0)</f>
        <v>1</v>
      </c>
      <c r="Q90">
        <v>1</v>
      </c>
      <c r="R90" s="6">
        <f ca="1">YEARFRAC(Table1[[#This Row],[Hire_Date]],IF(Table1[[#This Row],[Employment_Status]]="Exited",Table1[[#This Row],[Exit_Date]],TODAY()))</f>
        <v>2.3222222222222224</v>
      </c>
      <c r="S90" t="str" cm="1">
        <f t="array" aca="1" ref="S90" ca="1">_xlfn.IFS(AND(Table1[[#This Row],[Tenure]]&gt;=0,Table1[[#This Row],[Tenure]]&lt;=1),"0-1",AND(Table1[[#This Row],[Tenure]]&gt;1,Table1[[#This Row],[Tenure]]&lt;=3),"1-3",AND(Table1[[#This Row],[Tenure]]&gt;3,Table1[[#This Row],[Tenure]]&lt;=5),"3-5",AND(Table1[[#This Row],[Tenure]]&gt;5,Table1[[#This Row],[Tenure]]&lt;=8),"5-8")</f>
        <v>1-3</v>
      </c>
      <c r="T90" t="str" cm="1">
        <f t="array" ref="T90">_xlfn.IFS(AND(Table1[[#This Row],[Salary]]&gt;=180000, Table1[[#This Row],[Salary]] &lt;=500000),"Low (180k-500k)", AND(Table1[[#This Row],[Salary]]&gt;500000, Table1[[#This Row],[Salary]]&lt;=800000), "Medium (501k-800k)", AND(Table1[[#This Row],[Salary]]&gt;800000, Table1[[#This Row],[Salary]]&lt;1200000), "High (801k - 1.2m)")</f>
        <v>Medium (501k-800k)</v>
      </c>
    </row>
    <row r="91" spans="1:20" x14ac:dyDescent="0.2">
      <c r="A91">
        <v>90</v>
      </c>
      <c r="B91" t="s">
        <v>36</v>
      </c>
      <c r="C91" t="s">
        <v>20</v>
      </c>
      <c r="D91">
        <v>51</v>
      </c>
      <c r="E91" t="s">
        <v>15</v>
      </c>
      <c r="F91" t="s">
        <v>27</v>
      </c>
      <c r="G91">
        <v>724990</v>
      </c>
      <c r="H91" t="s">
        <v>132</v>
      </c>
      <c r="J91" t="s">
        <v>18</v>
      </c>
      <c r="K91">
        <v>3</v>
      </c>
      <c r="L91">
        <v>33</v>
      </c>
      <c r="M91">
        <v>81</v>
      </c>
      <c r="N91">
        <f>IF(Table1[[#This Row],[Employment_Status]]="Exited",1,0)</f>
        <v>0</v>
      </c>
      <c r="O91" t="str" cm="1">
        <f t="array" ref="O91">_xlfn.IFS(AND(Table1[[#This Row],[Age]]&gt;=22,Table1[[#This Row],[Age]]&lt;=35),"22-35",AND(Table1[[#This Row],[Age]]&gt;=36,Table1[[#This Row],[Age]]&lt;=45),"36-45",AND(Table1[[#This Row],[Age]]&gt;=46,Table1[[#This Row],[Age]]&lt;=55),"46-55")</f>
        <v>46-55</v>
      </c>
      <c r="P91">
        <f>IF(Table1[[#This Row],[Employment_Status]]="active",1,0)</f>
        <v>1</v>
      </c>
      <c r="Q91">
        <v>1</v>
      </c>
      <c r="R91" s="6">
        <f ca="1">YEARFRAC(Table1[[#This Row],[Hire_Date]],IF(Table1[[#This Row],[Employment_Status]]="Exited",Table1[[#This Row],[Exit_Date]],TODAY()))</f>
        <v>3.0166666666666666</v>
      </c>
      <c r="S91" t="str" cm="1">
        <f t="array" aca="1" ref="S91" ca="1">_xlfn.IFS(AND(Table1[[#This Row],[Tenure]]&gt;=0,Table1[[#This Row],[Tenure]]&lt;=1),"0-1",AND(Table1[[#This Row],[Tenure]]&gt;1,Table1[[#This Row],[Tenure]]&lt;=3),"1-3",AND(Table1[[#This Row],[Tenure]]&gt;3,Table1[[#This Row],[Tenure]]&lt;=5),"3-5",AND(Table1[[#This Row],[Tenure]]&gt;5,Table1[[#This Row],[Tenure]]&lt;=8),"5-8")</f>
        <v>3-5</v>
      </c>
      <c r="T91" t="str" cm="1">
        <f t="array" ref="T91">_xlfn.IFS(AND(Table1[[#This Row],[Salary]]&gt;=180000, Table1[[#This Row],[Salary]] &lt;=500000),"Low (180k-500k)", AND(Table1[[#This Row],[Salary]]&gt;500000, Table1[[#This Row],[Salary]]&lt;=800000), "Medium (501k-800k)", AND(Table1[[#This Row],[Salary]]&gt;800000, Table1[[#This Row],[Salary]]&lt;1200000), "High (801k - 1.2m)")</f>
        <v>Medium (501k-800k)</v>
      </c>
    </row>
    <row r="92" spans="1:20" x14ac:dyDescent="0.2">
      <c r="A92">
        <v>91</v>
      </c>
      <c r="B92" t="s">
        <v>26</v>
      </c>
      <c r="C92" t="s">
        <v>20</v>
      </c>
      <c r="D92">
        <v>45</v>
      </c>
      <c r="E92" t="s">
        <v>15</v>
      </c>
      <c r="F92" t="s">
        <v>27</v>
      </c>
      <c r="G92">
        <v>637421</v>
      </c>
      <c r="H92" t="s">
        <v>133</v>
      </c>
      <c r="J92" t="s">
        <v>18</v>
      </c>
      <c r="K92">
        <v>5</v>
      </c>
      <c r="L92">
        <v>50</v>
      </c>
      <c r="M92">
        <v>91</v>
      </c>
      <c r="N92">
        <f>IF(Table1[[#This Row],[Employment_Status]]="Exited",1,0)</f>
        <v>0</v>
      </c>
      <c r="O92" t="str" cm="1">
        <f t="array" ref="O92">_xlfn.IFS(AND(Table1[[#This Row],[Age]]&gt;=22,Table1[[#This Row],[Age]]&lt;=35),"22-35",AND(Table1[[#This Row],[Age]]&gt;=36,Table1[[#This Row],[Age]]&lt;=45),"36-45",AND(Table1[[#This Row],[Age]]&gt;=46,Table1[[#This Row],[Age]]&lt;=55),"46-55")</f>
        <v>36-45</v>
      </c>
      <c r="P92">
        <f>IF(Table1[[#This Row],[Employment_Status]]="active",1,0)</f>
        <v>1</v>
      </c>
      <c r="Q92">
        <v>1</v>
      </c>
      <c r="R92" s="6">
        <f ca="1">YEARFRAC(Table1[[#This Row],[Hire_Date]],IF(Table1[[#This Row],[Employment_Status]]="Exited",Table1[[#This Row],[Exit_Date]],TODAY()))</f>
        <v>6.3055555555555554</v>
      </c>
      <c r="S92" t="str" cm="1">
        <f t="array" aca="1" ref="S92" ca="1">_xlfn.IFS(AND(Table1[[#This Row],[Tenure]]&gt;=0,Table1[[#This Row],[Tenure]]&lt;=1),"0-1",AND(Table1[[#This Row],[Tenure]]&gt;1,Table1[[#This Row],[Tenure]]&lt;=3),"1-3",AND(Table1[[#This Row],[Tenure]]&gt;3,Table1[[#This Row],[Tenure]]&lt;=5),"3-5",AND(Table1[[#This Row],[Tenure]]&gt;5,Table1[[#This Row],[Tenure]]&lt;=8),"5-8")</f>
        <v>5-8</v>
      </c>
      <c r="T92" t="str" cm="1">
        <f t="array" ref="T92">_xlfn.IFS(AND(Table1[[#This Row],[Salary]]&gt;=180000, Table1[[#This Row],[Salary]] &lt;=500000),"Low (180k-500k)", AND(Table1[[#This Row],[Salary]]&gt;500000, Table1[[#This Row],[Salary]]&lt;=800000), "Medium (501k-800k)", AND(Table1[[#This Row],[Salary]]&gt;800000, Table1[[#This Row],[Salary]]&lt;1200000), "High (801k - 1.2m)")</f>
        <v>Medium (501k-800k)</v>
      </c>
    </row>
    <row r="93" spans="1:20" x14ac:dyDescent="0.2">
      <c r="A93">
        <v>92</v>
      </c>
      <c r="B93" t="s">
        <v>13</v>
      </c>
      <c r="C93" t="s">
        <v>20</v>
      </c>
      <c r="D93">
        <v>41</v>
      </c>
      <c r="E93" t="s">
        <v>61</v>
      </c>
      <c r="F93" t="s">
        <v>22</v>
      </c>
      <c r="G93">
        <v>203646</v>
      </c>
      <c r="H93" t="s">
        <v>51</v>
      </c>
      <c r="J93" t="s">
        <v>18</v>
      </c>
      <c r="K93">
        <v>3</v>
      </c>
      <c r="L93">
        <v>25</v>
      </c>
      <c r="M93">
        <v>94</v>
      </c>
      <c r="N93">
        <f>IF(Table1[[#This Row],[Employment_Status]]="Exited",1,0)</f>
        <v>0</v>
      </c>
      <c r="O93" t="str" cm="1">
        <f t="array" ref="O93">_xlfn.IFS(AND(Table1[[#This Row],[Age]]&gt;=22,Table1[[#This Row],[Age]]&lt;=35),"22-35",AND(Table1[[#This Row],[Age]]&gt;=36,Table1[[#This Row],[Age]]&lt;=45),"36-45",AND(Table1[[#This Row],[Age]]&gt;=46,Table1[[#This Row],[Age]]&lt;=55),"46-55")</f>
        <v>36-45</v>
      </c>
      <c r="P93">
        <f>IF(Table1[[#This Row],[Employment_Status]]="active",1,0)</f>
        <v>1</v>
      </c>
      <c r="Q93">
        <v>1</v>
      </c>
      <c r="R93" s="6">
        <f ca="1">YEARFRAC(Table1[[#This Row],[Hire_Date]],IF(Table1[[#This Row],[Employment_Status]]="Exited",Table1[[#This Row],[Exit_Date]],TODAY()))</f>
        <v>4.7444444444444445</v>
      </c>
      <c r="S93" t="str" cm="1">
        <f t="array" aca="1" ref="S93" ca="1">_xlfn.IFS(AND(Table1[[#This Row],[Tenure]]&gt;=0,Table1[[#This Row],[Tenure]]&lt;=1),"0-1",AND(Table1[[#This Row],[Tenure]]&gt;1,Table1[[#This Row],[Tenure]]&lt;=3),"1-3",AND(Table1[[#This Row],[Tenure]]&gt;3,Table1[[#This Row],[Tenure]]&lt;=5),"3-5",AND(Table1[[#This Row],[Tenure]]&gt;5,Table1[[#This Row],[Tenure]]&lt;=8),"5-8")</f>
        <v>3-5</v>
      </c>
      <c r="T93" t="str" cm="1">
        <f t="array" ref="T93">_xlfn.IFS(AND(Table1[[#This Row],[Salary]]&gt;=180000, Table1[[#This Row],[Salary]] &lt;=500000),"Low (180k-500k)", AND(Table1[[#This Row],[Salary]]&gt;500000, Table1[[#This Row],[Salary]]&lt;=800000), "Medium (501k-800k)", AND(Table1[[#This Row],[Salary]]&gt;800000, Table1[[#This Row],[Salary]]&lt;1200000), "High (801k - 1.2m)")</f>
        <v>Low (180k-500k)</v>
      </c>
    </row>
    <row r="94" spans="1:20" x14ac:dyDescent="0.2">
      <c r="A94">
        <v>93</v>
      </c>
      <c r="B94" t="s">
        <v>36</v>
      </c>
      <c r="C94" t="s">
        <v>14</v>
      </c>
      <c r="D94">
        <v>33</v>
      </c>
      <c r="E94" t="s">
        <v>45</v>
      </c>
      <c r="F94" t="s">
        <v>34</v>
      </c>
      <c r="G94">
        <v>252209</v>
      </c>
      <c r="H94" t="s">
        <v>134</v>
      </c>
      <c r="J94" t="s">
        <v>18</v>
      </c>
      <c r="K94">
        <v>4</v>
      </c>
      <c r="L94">
        <v>30</v>
      </c>
      <c r="M94">
        <v>95</v>
      </c>
      <c r="N94">
        <f>IF(Table1[[#This Row],[Employment_Status]]="Exited",1,0)</f>
        <v>0</v>
      </c>
      <c r="O94" t="str" cm="1">
        <f t="array" ref="O94">_xlfn.IFS(AND(Table1[[#This Row],[Age]]&gt;=22,Table1[[#This Row],[Age]]&lt;=35),"22-35",AND(Table1[[#This Row],[Age]]&gt;=36,Table1[[#This Row],[Age]]&lt;=45),"36-45",AND(Table1[[#This Row],[Age]]&gt;=46,Table1[[#This Row],[Age]]&lt;=55),"46-55")</f>
        <v>22-35</v>
      </c>
      <c r="P94">
        <f>IF(Table1[[#This Row],[Employment_Status]]="active",1,0)</f>
        <v>1</v>
      </c>
      <c r="Q94">
        <v>1</v>
      </c>
      <c r="R94" s="6">
        <f ca="1">YEARFRAC(Table1[[#This Row],[Hire_Date]],IF(Table1[[#This Row],[Employment_Status]]="Exited",Table1[[#This Row],[Exit_Date]],TODAY()))</f>
        <v>6.6833333333333336</v>
      </c>
      <c r="S94" t="str" cm="1">
        <f t="array" aca="1" ref="S94" ca="1">_xlfn.IFS(AND(Table1[[#This Row],[Tenure]]&gt;=0,Table1[[#This Row],[Tenure]]&lt;=1),"0-1",AND(Table1[[#This Row],[Tenure]]&gt;1,Table1[[#This Row],[Tenure]]&lt;=3),"1-3",AND(Table1[[#This Row],[Tenure]]&gt;3,Table1[[#This Row],[Tenure]]&lt;=5),"3-5",AND(Table1[[#This Row],[Tenure]]&gt;5,Table1[[#This Row],[Tenure]]&lt;=8),"5-8")</f>
        <v>5-8</v>
      </c>
      <c r="T94" t="str" cm="1">
        <f t="array" ref="T94">_xlfn.IFS(AND(Table1[[#This Row],[Salary]]&gt;=180000, Table1[[#This Row],[Salary]] &lt;=500000),"Low (180k-500k)", AND(Table1[[#This Row],[Salary]]&gt;500000, Table1[[#This Row],[Salary]]&lt;=800000), "Medium (501k-800k)", AND(Table1[[#This Row],[Salary]]&gt;800000, Table1[[#This Row],[Salary]]&lt;1200000), "High (801k - 1.2m)")</f>
        <v>Low (180k-500k)</v>
      </c>
    </row>
    <row r="95" spans="1:20" x14ac:dyDescent="0.2">
      <c r="A95">
        <v>94</v>
      </c>
      <c r="B95" t="s">
        <v>36</v>
      </c>
      <c r="C95" t="s">
        <v>20</v>
      </c>
      <c r="D95">
        <v>30</v>
      </c>
      <c r="E95" t="s">
        <v>61</v>
      </c>
      <c r="F95" t="s">
        <v>27</v>
      </c>
      <c r="G95">
        <v>232926</v>
      </c>
      <c r="H95" t="s">
        <v>106</v>
      </c>
      <c r="J95" t="s">
        <v>18</v>
      </c>
      <c r="K95">
        <v>2</v>
      </c>
      <c r="L95">
        <v>24</v>
      </c>
      <c r="M95">
        <v>81</v>
      </c>
      <c r="N95">
        <f>IF(Table1[[#This Row],[Employment_Status]]="Exited",1,0)</f>
        <v>0</v>
      </c>
      <c r="O95" t="str" cm="1">
        <f t="array" ref="O95">_xlfn.IFS(AND(Table1[[#This Row],[Age]]&gt;=22,Table1[[#This Row],[Age]]&lt;=35),"22-35",AND(Table1[[#This Row],[Age]]&gt;=36,Table1[[#This Row],[Age]]&lt;=45),"36-45",AND(Table1[[#This Row],[Age]]&gt;=46,Table1[[#This Row],[Age]]&lt;=55),"46-55")</f>
        <v>22-35</v>
      </c>
      <c r="P95">
        <f>IF(Table1[[#This Row],[Employment_Status]]="active",1,0)</f>
        <v>1</v>
      </c>
      <c r="Q95">
        <v>1</v>
      </c>
      <c r="R95" s="6">
        <f ca="1">YEARFRAC(Table1[[#This Row],[Hire_Date]],IF(Table1[[#This Row],[Employment_Status]]="Exited",Table1[[#This Row],[Exit_Date]],TODAY()))</f>
        <v>4.8305555555555557</v>
      </c>
      <c r="S95" t="str" cm="1">
        <f t="array" aca="1" ref="S95" ca="1">_xlfn.IFS(AND(Table1[[#This Row],[Tenure]]&gt;=0,Table1[[#This Row],[Tenure]]&lt;=1),"0-1",AND(Table1[[#This Row],[Tenure]]&gt;1,Table1[[#This Row],[Tenure]]&lt;=3),"1-3",AND(Table1[[#This Row],[Tenure]]&gt;3,Table1[[#This Row],[Tenure]]&lt;=5),"3-5",AND(Table1[[#This Row],[Tenure]]&gt;5,Table1[[#This Row],[Tenure]]&lt;=8),"5-8")</f>
        <v>3-5</v>
      </c>
      <c r="T95" t="str" cm="1">
        <f t="array" ref="T95">_xlfn.IFS(AND(Table1[[#This Row],[Salary]]&gt;=180000, Table1[[#This Row],[Salary]] &lt;=500000),"Low (180k-500k)", AND(Table1[[#This Row],[Salary]]&gt;500000, Table1[[#This Row],[Salary]]&lt;=800000), "Medium (501k-800k)", AND(Table1[[#This Row],[Salary]]&gt;800000, Table1[[#This Row],[Salary]]&lt;1200000), "High (801k - 1.2m)")</f>
        <v>Low (180k-500k)</v>
      </c>
    </row>
    <row r="96" spans="1:20" x14ac:dyDescent="0.2">
      <c r="A96">
        <v>95</v>
      </c>
      <c r="B96" t="s">
        <v>40</v>
      </c>
      <c r="C96" t="s">
        <v>20</v>
      </c>
      <c r="D96">
        <v>29</v>
      </c>
      <c r="E96" t="s">
        <v>45</v>
      </c>
      <c r="F96" t="s">
        <v>34</v>
      </c>
      <c r="G96">
        <v>540713</v>
      </c>
      <c r="H96" t="s">
        <v>135</v>
      </c>
      <c r="J96" t="s">
        <v>18</v>
      </c>
      <c r="K96">
        <v>4</v>
      </c>
      <c r="L96">
        <v>32</v>
      </c>
      <c r="M96">
        <v>68</v>
      </c>
      <c r="N96">
        <f>IF(Table1[[#This Row],[Employment_Status]]="Exited",1,0)</f>
        <v>0</v>
      </c>
      <c r="O96" t="str" cm="1">
        <f t="array" ref="O96">_xlfn.IFS(AND(Table1[[#This Row],[Age]]&gt;=22,Table1[[#This Row],[Age]]&lt;=35),"22-35",AND(Table1[[#This Row],[Age]]&gt;=36,Table1[[#This Row],[Age]]&lt;=45),"36-45",AND(Table1[[#This Row],[Age]]&gt;=46,Table1[[#This Row],[Age]]&lt;=55),"46-55")</f>
        <v>22-35</v>
      </c>
      <c r="P96">
        <f>IF(Table1[[#This Row],[Employment_Status]]="active",1,0)</f>
        <v>1</v>
      </c>
      <c r="Q96">
        <v>1</v>
      </c>
      <c r="R96" s="6">
        <f ca="1">YEARFRAC(Table1[[#This Row],[Hire_Date]],IF(Table1[[#This Row],[Employment_Status]]="Exited",Table1[[#This Row],[Exit_Date]],TODAY()))</f>
        <v>6.0611111111111109</v>
      </c>
      <c r="S96" t="str" cm="1">
        <f t="array" aca="1" ref="S96" ca="1">_xlfn.IFS(AND(Table1[[#This Row],[Tenure]]&gt;=0,Table1[[#This Row],[Tenure]]&lt;=1),"0-1",AND(Table1[[#This Row],[Tenure]]&gt;1,Table1[[#This Row],[Tenure]]&lt;=3),"1-3",AND(Table1[[#This Row],[Tenure]]&gt;3,Table1[[#This Row],[Tenure]]&lt;=5),"3-5",AND(Table1[[#This Row],[Tenure]]&gt;5,Table1[[#This Row],[Tenure]]&lt;=8),"5-8")</f>
        <v>5-8</v>
      </c>
      <c r="T96" t="str" cm="1">
        <f t="array" ref="T96">_xlfn.IFS(AND(Table1[[#This Row],[Salary]]&gt;=180000, Table1[[#This Row],[Salary]] &lt;=500000),"Low (180k-500k)", AND(Table1[[#This Row],[Salary]]&gt;500000, Table1[[#This Row],[Salary]]&lt;=800000), "Medium (501k-800k)", AND(Table1[[#This Row],[Salary]]&gt;800000, Table1[[#This Row],[Salary]]&lt;1200000), "High (801k - 1.2m)")</f>
        <v>Medium (501k-800k)</v>
      </c>
    </row>
    <row r="97" spans="1:20" x14ac:dyDescent="0.2">
      <c r="A97">
        <v>96</v>
      </c>
      <c r="B97" t="s">
        <v>36</v>
      </c>
      <c r="C97" t="s">
        <v>20</v>
      </c>
      <c r="D97">
        <v>38</v>
      </c>
      <c r="E97" t="s">
        <v>21</v>
      </c>
      <c r="F97" t="s">
        <v>27</v>
      </c>
      <c r="G97">
        <v>499590</v>
      </c>
      <c r="H97" t="s">
        <v>136</v>
      </c>
      <c r="J97" t="s">
        <v>18</v>
      </c>
      <c r="K97">
        <v>3</v>
      </c>
      <c r="L97">
        <v>5</v>
      </c>
      <c r="M97">
        <v>77</v>
      </c>
      <c r="N97">
        <f>IF(Table1[[#This Row],[Employment_Status]]="Exited",1,0)</f>
        <v>0</v>
      </c>
      <c r="O97" t="str" cm="1">
        <f t="array" ref="O97">_xlfn.IFS(AND(Table1[[#This Row],[Age]]&gt;=22,Table1[[#This Row],[Age]]&lt;=35),"22-35",AND(Table1[[#This Row],[Age]]&gt;=36,Table1[[#This Row],[Age]]&lt;=45),"36-45",AND(Table1[[#This Row],[Age]]&gt;=46,Table1[[#This Row],[Age]]&lt;=55),"46-55")</f>
        <v>36-45</v>
      </c>
      <c r="P97">
        <f>IF(Table1[[#This Row],[Employment_Status]]="active",1,0)</f>
        <v>1</v>
      </c>
      <c r="Q97">
        <v>1</v>
      </c>
      <c r="R97" s="6">
        <f ca="1">YEARFRAC(Table1[[#This Row],[Hire_Date]],IF(Table1[[#This Row],[Employment_Status]]="Exited",Table1[[#This Row],[Exit_Date]],TODAY()))</f>
        <v>6.7888888888888888</v>
      </c>
      <c r="S97" t="str" cm="1">
        <f t="array" aca="1" ref="S97" ca="1">_xlfn.IFS(AND(Table1[[#This Row],[Tenure]]&gt;=0,Table1[[#This Row],[Tenure]]&lt;=1),"0-1",AND(Table1[[#This Row],[Tenure]]&gt;1,Table1[[#This Row],[Tenure]]&lt;=3),"1-3",AND(Table1[[#This Row],[Tenure]]&gt;3,Table1[[#This Row],[Tenure]]&lt;=5),"3-5",AND(Table1[[#This Row],[Tenure]]&gt;5,Table1[[#This Row],[Tenure]]&lt;=8),"5-8")</f>
        <v>5-8</v>
      </c>
      <c r="T97" t="str" cm="1">
        <f t="array" ref="T97">_xlfn.IFS(AND(Table1[[#This Row],[Salary]]&gt;=180000, Table1[[#This Row],[Salary]] &lt;=500000),"Low (180k-500k)", AND(Table1[[#This Row],[Salary]]&gt;500000, Table1[[#This Row],[Salary]]&lt;=800000), "Medium (501k-800k)", AND(Table1[[#This Row],[Salary]]&gt;800000, Table1[[#This Row],[Salary]]&lt;1200000), "High (801k - 1.2m)")</f>
        <v>Low (180k-500k)</v>
      </c>
    </row>
    <row r="98" spans="1:20" x14ac:dyDescent="0.2">
      <c r="A98">
        <v>97</v>
      </c>
      <c r="B98" t="s">
        <v>19</v>
      </c>
      <c r="C98" t="s">
        <v>20</v>
      </c>
      <c r="D98">
        <v>32</v>
      </c>
      <c r="E98" t="s">
        <v>61</v>
      </c>
      <c r="F98" t="s">
        <v>34</v>
      </c>
      <c r="G98">
        <v>242185</v>
      </c>
      <c r="H98" t="s">
        <v>137</v>
      </c>
      <c r="J98" t="s">
        <v>18</v>
      </c>
      <c r="K98">
        <v>1</v>
      </c>
      <c r="L98">
        <v>15</v>
      </c>
      <c r="M98">
        <v>100</v>
      </c>
      <c r="N98">
        <f>IF(Table1[[#This Row],[Employment_Status]]="Exited",1,0)</f>
        <v>0</v>
      </c>
      <c r="O98" t="str" cm="1">
        <f t="array" ref="O98">_xlfn.IFS(AND(Table1[[#This Row],[Age]]&gt;=22,Table1[[#This Row],[Age]]&lt;=35),"22-35",AND(Table1[[#This Row],[Age]]&gt;=36,Table1[[#This Row],[Age]]&lt;=45),"36-45",AND(Table1[[#This Row],[Age]]&gt;=46,Table1[[#This Row],[Age]]&lt;=55),"46-55")</f>
        <v>22-35</v>
      </c>
      <c r="P98">
        <f>IF(Table1[[#This Row],[Employment_Status]]="active",1,0)</f>
        <v>1</v>
      </c>
      <c r="Q98">
        <v>1</v>
      </c>
      <c r="R98" s="6">
        <f ca="1">YEARFRAC(Table1[[#This Row],[Hire_Date]],IF(Table1[[#This Row],[Employment_Status]]="Exited",Table1[[#This Row],[Exit_Date]],TODAY()))</f>
        <v>5.7444444444444445</v>
      </c>
      <c r="S98" t="str" cm="1">
        <f t="array" aca="1" ref="S98" ca="1">_xlfn.IFS(AND(Table1[[#This Row],[Tenure]]&gt;=0,Table1[[#This Row],[Tenure]]&lt;=1),"0-1",AND(Table1[[#This Row],[Tenure]]&gt;1,Table1[[#This Row],[Tenure]]&lt;=3),"1-3",AND(Table1[[#This Row],[Tenure]]&gt;3,Table1[[#This Row],[Tenure]]&lt;=5),"3-5",AND(Table1[[#This Row],[Tenure]]&gt;5,Table1[[#This Row],[Tenure]]&lt;=8),"5-8")</f>
        <v>5-8</v>
      </c>
      <c r="T98" t="str" cm="1">
        <f t="array" ref="T98">_xlfn.IFS(AND(Table1[[#This Row],[Salary]]&gt;=180000, Table1[[#This Row],[Salary]] &lt;=500000),"Low (180k-500k)", AND(Table1[[#This Row],[Salary]]&gt;500000, Table1[[#This Row],[Salary]]&lt;=800000), "Medium (501k-800k)", AND(Table1[[#This Row],[Salary]]&gt;800000, Table1[[#This Row],[Salary]]&lt;1200000), "High (801k - 1.2m)")</f>
        <v>Low (180k-500k)</v>
      </c>
    </row>
    <row r="99" spans="1:20" x14ac:dyDescent="0.2">
      <c r="A99">
        <v>98</v>
      </c>
      <c r="B99" t="s">
        <v>58</v>
      </c>
      <c r="C99" t="s">
        <v>20</v>
      </c>
      <c r="D99">
        <v>25</v>
      </c>
      <c r="E99" t="s">
        <v>15</v>
      </c>
      <c r="F99" t="s">
        <v>27</v>
      </c>
      <c r="G99">
        <v>440329</v>
      </c>
      <c r="H99" t="s">
        <v>138</v>
      </c>
      <c r="J99" t="s">
        <v>18</v>
      </c>
      <c r="K99">
        <v>2</v>
      </c>
      <c r="L99">
        <v>7</v>
      </c>
      <c r="M99">
        <v>91</v>
      </c>
      <c r="N99">
        <f>IF(Table1[[#This Row],[Employment_Status]]="Exited",1,0)</f>
        <v>0</v>
      </c>
      <c r="O99" t="str" cm="1">
        <f t="array" ref="O99">_xlfn.IFS(AND(Table1[[#This Row],[Age]]&gt;=22,Table1[[#This Row],[Age]]&lt;=35),"22-35",AND(Table1[[#This Row],[Age]]&gt;=36,Table1[[#This Row],[Age]]&lt;=45),"36-45",AND(Table1[[#This Row],[Age]]&gt;=46,Table1[[#This Row],[Age]]&lt;=55),"46-55")</f>
        <v>22-35</v>
      </c>
      <c r="P99">
        <f>IF(Table1[[#This Row],[Employment_Status]]="active",1,0)</f>
        <v>1</v>
      </c>
      <c r="Q99">
        <v>1</v>
      </c>
      <c r="R99" s="6">
        <f ca="1">YEARFRAC(Table1[[#This Row],[Hire_Date]],IF(Table1[[#This Row],[Employment_Status]]="Exited",Table1[[#This Row],[Exit_Date]],TODAY()))</f>
        <v>6.5138888888888893</v>
      </c>
      <c r="S99" t="str" cm="1">
        <f t="array" aca="1" ref="S99" ca="1">_xlfn.IFS(AND(Table1[[#This Row],[Tenure]]&gt;=0,Table1[[#This Row],[Tenure]]&lt;=1),"0-1",AND(Table1[[#This Row],[Tenure]]&gt;1,Table1[[#This Row],[Tenure]]&lt;=3),"1-3",AND(Table1[[#This Row],[Tenure]]&gt;3,Table1[[#This Row],[Tenure]]&lt;=5),"3-5",AND(Table1[[#This Row],[Tenure]]&gt;5,Table1[[#This Row],[Tenure]]&lt;=8),"5-8")</f>
        <v>5-8</v>
      </c>
      <c r="T99" t="str" cm="1">
        <f t="array" ref="T99">_xlfn.IFS(AND(Table1[[#This Row],[Salary]]&gt;=180000, Table1[[#This Row],[Salary]] &lt;=500000),"Low (180k-500k)", AND(Table1[[#This Row],[Salary]]&gt;500000, Table1[[#This Row],[Salary]]&lt;=800000), "Medium (501k-800k)", AND(Table1[[#This Row],[Salary]]&gt;800000, Table1[[#This Row],[Salary]]&lt;1200000), "High (801k - 1.2m)")</f>
        <v>Low (180k-500k)</v>
      </c>
    </row>
    <row r="100" spans="1:20" x14ac:dyDescent="0.2">
      <c r="A100">
        <v>99</v>
      </c>
      <c r="B100" t="s">
        <v>26</v>
      </c>
      <c r="C100" t="s">
        <v>14</v>
      </c>
      <c r="D100">
        <v>47</v>
      </c>
      <c r="E100" t="s">
        <v>15</v>
      </c>
      <c r="F100" t="s">
        <v>27</v>
      </c>
      <c r="G100">
        <v>945996</v>
      </c>
      <c r="H100" t="s">
        <v>139</v>
      </c>
      <c r="J100" t="s">
        <v>18</v>
      </c>
      <c r="K100">
        <v>2</v>
      </c>
      <c r="L100">
        <v>0</v>
      </c>
      <c r="M100">
        <v>77</v>
      </c>
      <c r="N100">
        <f>IF(Table1[[#This Row],[Employment_Status]]="Exited",1,0)</f>
        <v>0</v>
      </c>
      <c r="O100" t="str" cm="1">
        <f t="array" ref="O100">_xlfn.IFS(AND(Table1[[#This Row],[Age]]&gt;=22,Table1[[#This Row],[Age]]&lt;=35),"22-35",AND(Table1[[#This Row],[Age]]&gt;=36,Table1[[#This Row],[Age]]&lt;=45),"36-45",AND(Table1[[#This Row],[Age]]&gt;=46,Table1[[#This Row],[Age]]&lt;=55),"46-55")</f>
        <v>46-55</v>
      </c>
      <c r="P100">
        <f>IF(Table1[[#This Row],[Employment_Status]]="active",1,0)</f>
        <v>1</v>
      </c>
      <c r="Q100">
        <v>1</v>
      </c>
      <c r="R100" s="6">
        <f ca="1">YEARFRAC(Table1[[#This Row],[Hire_Date]],IF(Table1[[#This Row],[Employment_Status]]="Exited",Table1[[#This Row],[Exit_Date]],TODAY()))</f>
        <v>5.9444444444444446</v>
      </c>
      <c r="S100" t="str" cm="1">
        <f t="array" aca="1" ref="S100" ca="1">_xlfn.IFS(AND(Table1[[#This Row],[Tenure]]&gt;=0,Table1[[#This Row],[Tenure]]&lt;=1),"0-1",AND(Table1[[#This Row],[Tenure]]&gt;1,Table1[[#This Row],[Tenure]]&lt;=3),"1-3",AND(Table1[[#This Row],[Tenure]]&gt;3,Table1[[#This Row],[Tenure]]&lt;=5),"3-5",AND(Table1[[#This Row],[Tenure]]&gt;5,Table1[[#This Row],[Tenure]]&lt;=8),"5-8")</f>
        <v>5-8</v>
      </c>
      <c r="T100" t="str" cm="1">
        <f t="array" ref="T100">_xlfn.IFS(AND(Table1[[#This Row],[Salary]]&gt;=180000, Table1[[#This Row],[Salary]] &lt;=500000),"Low (180k-500k)", AND(Table1[[#This Row],[Salary]]&gt;500000, Table1[[#This Row],[Salary]]&lt;=800000), "Medium (501k-800k)", AND(Table1[[#This Row],[Salary]]&gt;800000, Table1[[#This Row],[Salary]]&lt;1200000), "High (801k - 1.2m)")</f>
        <v>High (801k - 1.2m)</v>
      </c>
    </row>
    <row r="101" spans="1:20" x14ac:dyDescent="0.2">
      <c r="A101">
        <v>100</v>
      </c>
      <c r="B101" t="s">
        <v>29</v>
      </c>
      <c r="C101" t="s">
        <v>14</v>
      </c>
      <c r="D101">
        <v>53</v>
      </c>
      <c r="E101" t="s">
        <v>21</v>
      </c>
      <c r="F101" t="s">
        <v>16</v>
      </c>
      <c r="G101">
        <v>513866</v>
      </c>
      <c r="H101" t="s">
        <v>140</v>
      </c>
      <c r="J101" t="s">
        <v>18</v>
      </c>
      <c r="K101">
        <v>4</v>
      </c>
      <c r="L101">
        <v>36</v>
      </c>
      <c r="M101">
        <v>66</v>
      </c>
      <c r="N101">
        <f>IF(Table1[[#This Row],[Employment_Status]]="Exited",1,0)</f>
        <v>0</v>
      </c>
      <c r="O101" t="str" cm="1">
        <f t="array" ref="O101">_xlfn.IFS(AND(Table1[[#This Row],[Age]]&gt;=22,Table1[[#This Row],[Age]]&lt;=35),"22-35",AND(Table1[[#This Row],[Age]]&gt;=36,Table1[[#This Row],[Age]]&lt;=45),"36-45",AND(Table1[[#This Row],[Age]]&gt;=46,Table1[[#This Row],[Age]]&lt;=55),"46-55")</f>
        <v>46-55</v>
      </c>
      <c r="P101">
        <f>IF(Table1[[#This Row],[Employment_Status]]="active",1,0)</f>
        <v>1</v>
      </c>
      <c r="Q101">
        <v>1</v>
      </c>
      <c r="R101" s="6">
        <f ca="1">YEARFRAC(Table1[[#This Row],[Hire_Date]],IF(Table1[[#This Row],[Employment_Status]]="Exited",Table1[[#This Row],[Exit_Date]],TODAY()))</f>
        <v>3.9361111111111109</v>
      </c>
      <c r="S101" t="str" cm="1">
        <f t="array" aca="1" ref="S101" ca="1">_xlfn.IFS(AND(Table1[[#This Row],[Tenure]]&gt;=0,Table1[[#This Row],[Tenure]]&lt;=1),"0-1",AND(Table1[[#This Row],[Tenure]]&gt;1,Table1[[#This Row],[Tenure]]&lt;=3),"1-3",AND(Table1[[#This Row],[Tenure]]&gt;3,Table1[[#This Row],[Tenure]]&lt;=5),"3-5",AND(Table1[[#This Row],[Tenure]]&gt;5,Table1[[#This Row],[Tenure]]&lt;=8),"5-8")</f>
        <v>3-5</v>
      </c>
      <c r="T101" t="str" cm="1">
        <f t="array" ref="T101">_xlfn.IFS(AND(Table1[[#This Row],[Salary]]&gt;=180000, Table1[[#This Row],[Salary]] &lt;=500000),"Low (180k-500k)", AND(Table1[[#This Row],[Salary]]&gt;500000, Table1[[#This Row],[Salary]]&lt;=800000), "Medium (501k-800k)", AND(Table1[[#This Row],[Salary]]&gt;800000, Table1[[#This Row],[Salary]]&lt;1200000), "High (801k - 1.2m)")</f>
        <v>Medium (501k-800k)</v>
      </c>
    </row>
    <row r="102" spans="1:20" x14ac:dyDescent="0.2">
      <c r="A102">
        <v>101</v>
      </c>
      <c r="B102" t="s">
        <v>19</v>
      </c>
      <c r="C102" t="s">
        <v>14</v>
      </c>
      <c r="D102">
        <v>36</v>
      </c>
      <c r="E102" t="s">
        <v>45</v>
      </c>
      <c r="F102" t="s">
        <v>27</v>
      </c>
      <c r="G102">
        <v>216581</v>
      </c>
      <c r="H102" t="s">
        <v>141</v>
      </c>
      <c r="I102" t="s">
        <v>142</v>
      </c>
      <c r="J102" t="s">
        <v>55</v>
      </c>
      <c r="K102">
        <v>1</v>
      </c>
      <c r="L102">
        <v>24</v>
      </c>
      <c r="M102">
        <v>97</v>
      </c>
      <c r="N102">
        <f>IF(Table1[[#This Row],[Employment_Status]]="Exited",1,0)</f>
        <v>1</v>
      </c>
      <c r="O102" t="str" cm="1">
        <f t="array" ref="O102">_xlfn.IFS(AND(Table1[[#This Row],[Age]]&gt;=22,Table1[[#This Row],[Age]]&lt;=35),"22-35",AND(Table1[[#This Row],[Age]]&gt;=36,Table1[[#This Row],[Age]]&lt;=45),"36-45",AND(Table1[[#This Row],[Age]]&gt;=46,Table1[[#This Row],[Age]]&lt;=55),"46-55")</f>
        <v>36-45</v>
      </c>
      <c r="P102">
        <f>IF(Table1[[#This Row],[Employment_Status]]="active",1,0)</f>
        <v>0</v>
      </c>
      <c r="Q102">
        <v>1</v>
      </c>
      <c r="R102" s="6">
        <f ca="1">YEARFRAC(Table1[[#This Row],[Hire_Date]],IF(Table1[[#This Row],[Employment_Status]]="Exited",Table1[[#This Row],[Exit_Date]],TODAY()))</f>
        <v>2.7611111111111111</v>
      </c>
      <c r="S102" t="str" cm="1">
        <f t="array" aca="1" ref="S102" ca="1">_xlfn.IFS(AND(Table1[[#This Row],[Tenure]]&gt;=0,Table1[[#This Row],[Tenure]]&lt;=1),"0-1",AND(Table1[[#This Row],[Tenure]]&gt;1,Table1[[#This Row],[Tenure]]&lt;=3),"1-3",AND(Table1[[#This Row],[Tenure]]&gt;3,Table1[[#This Row],[Tenure]]&lt;=5),"3-5",AND(Table1[[#This Row],[Tenure]]&gt;5,Table1[[#This Row],[Tenure]]&lt;=8),"5-8")</f>
        <v>1-3</v>
      </c>
      <c r="T102" t="str" cm="1">
        <f t="array" ref="T102">_xlfn.IFS(AND(Table1[[#This Row],[Salary]]&gt;=180000, Table1[[#This Row],[Salary]] &lt;=500000),"Low (180k-500k)", AND(Table1[[#This Row],[Salary]]&gt;500000, Table1[[#This Row],[Salary]]&lt;=800000), "Medium (501k-800k)", AND(Table1[[#This Row],[Salary]]&gt;800000, Table1[[#This Row],[Salary]]&lt;1200000), "High (801k - 1.2m)")</f>
        <v>Low (180k-500k)</v>
      </c>
    </row>
    <row r="103" spans="1:20" x14ac:dyDescent="0.2">
      <c r="A103">
        <v>102</v>
      </c>
      <c r="B103" t="s">
        <v>40</v>
      </c>
      <c r="C103" t="s">
        <v>14</v>
      </c>
      <c r="D103">
        <v>47</v>
      </c>
      <c r="E103" t="s">
        <v>21</v>
      </c>
      <c r="F103" t="s">
        <v>27</v>
      </c>
      <c r="G103">
        <v>532307</v>
      </c>
      <c r="H103" t="s">
        <v>69</v>
      </c>
      <c r="J103" t="s">
        <v>18</v>
      </c>
      <c r="K103">
        <v>3</v>
      </c>
      <c r="L103">
        <v>2</v>
      </c>
      <c r="M103">
        <v>84</v>
      </c>
      <c r="N103">
        <f>IF(Table1[[#This Row],[Employment_Status]]="Exited",1,0)</f>
        <v>0</v>
      </c>
      <c r="O103" t="str" cm="1">
        <f t="array" ref="O103">_xlfn.IFS(AND(Table1[[#This Row],[Age]]&gt;=22,Table1[[#This Row],[Age]]&lt;=35),"22-35",AND(Table1[[#This Row],[Age]]&gt;=36,Table1[[#This Row],[Age]]&lt;=45),"36-45",AND(Table1[[#This Row],[Age]]&gt;=46,Table1[[#This Row],[Age]]&lt;=55),"46-55")</f>
        <v>46-55</v>
      </c>
      <c r="P103">
        <f>IF(Table1[[#This Row],[Employment_Status]]="active",1,0)</f>
        <v>1</v>
      </c>
      <c r="Q103">
        <v>1</v>
      </c>
      <c r="R103" s="6">
        <f ca="1">YEARFRAC(Table1[[#This Row],[Hire_Date]],IF(Table1[[#This Row],[Employment_Status]]="Exited",Table1[[#This Row],[Exit_Date]],TODAY()))</f>
        <v>2.9583333333333335</v>
      </c>
      <c r="S103" t="str" cm="1">
        <f t="array" aca="1" ref="S103" ca="1">_xlfn.IFS(AND(Table1[[#This Row],[Tenure]]&gt;=0,Table1[[#This Row],[Tenure]]&lt;=1),"0-1",AND(Table1[[#This Row],[Tenure]]&gt;1,Table1[[#This Row],[Tenure]]&lt;=3),"1-3",AND(Table1[[#This Row],[Tenure]]&gt;3,Table1[[#This Row],[Tenure]]&lt;=5),"3-5",AND(Table1[[#This Row],[Tenure]]&gt;5,Table1[[#This Row],[Tenure]]&lt;=8),"5-8")</f>
        <v>1-3</v>
      </c>
      <c r="T103" t="str" cm="1">
        <f t="array" ref="T103">_xlfn.IFS(AND(Table1[[#This Row],[Salary]]&gt;=180000, Table1[[#This Row],[Salary]] &lt;=500000),"Low (180k-500k)", AND(Table1[[#This Row],[Salary]]&gt;500000, Table1[[#This Row],[Salary]]&lt;=800000), "Medium (501k-800k)", AND(Table1[[#This Row],[Salary]]&gt;800000, Table1[[#This Row],[Salary]]&lt;1200000), "High (801k - 1.2m)")</f>
        <v>Medium (501k-800k)</v>
      </c>
    </row>
    <row r="104" spans="1:20" x14ac:dyDescent="0.2">
      <c r="A104">
        <v>103</v>
      </c>
      <c r="B104" t="s">
        <v>47</v>
      </c>
      <c r="C104" t="s">
        <v>20</v>
      </c>
      <c r="D104">
        <v>25</v>
      </c>
      <c r="E104" t="s">
        <v>15</v>
      </c>
      <c r="F104" t="s">
        <v>22</v>
      </c>
      <c r="G104">
        <v>867336</v>
      </c>
      <c r="H104" t="s">
        <v>143</v>
      </c>
      <c r="J104" t="s">
        <v>18</v>
      </c>
      <c r="K104">
        <v>4</v>
      </c>
      <c r="L104">
        <v>41</v>
      </c>
      <c r="M104">
        <v>70</v>
      </c>
      <c r="N104">
        <f>IF(Table1[[#This Row],[Employment_Status]]="Exited",1,0)</f>
        <v>0</v>
      </c>
      <c r="O104" t="str" cm="1">
        <f t="array" ref="O104">_xlfn.IFS(AND(Table1[[#This Row],[Age]]&gt;=22,Table1[[#This Row],[Age]]&lt;=35),"22-35",AND(Table1[[#This Row],[Age]]&gt;=36,Table1[[#This Row],[Age]]&lt;=45),"36-45",AND(Table1[[#This Row],[Age]]&gt;=46,Table1[[#This Row],[Age]]&lt;=55),"46-55")</f>
        <v>22-35</v>
      </c>
      <c r="P104">
        <f>IF(Table1[[#This Row],[Employment_Status]]="active",1,0)</f>
        <v>1</v>
      </c>
      <c r="Q104">
        <v>1</v>
      </c>
      <c r="R104" s="6">
        <f ca="1">YEARFRAC(Table1[[#This Row],[Hire_Date]],IF(Table1[[#This Row],[Employment_Status]]="Exited",Table1[[#This Row],[Exit_Date]],TODAY()))</f>
        <v>3.1388888888888888</v>
      </c>
      <c r="S104" t="str" cm="1">
        <f t="array" aca="1" ref="S104" ca="1">_xlfn.IFS(AND(Table1[[#This Row],[Tenure]]&gt;=0,Table1[[#This Row],[Tenure]]&lt;=1),"0-1",AND(Table1[[#This Row],[Tenure]]&gt;1,Table1[[#This Row],[Tenure]]&lt;=3),"1-3",AND(Table1[[#This Row],[Tenure]]&gt;3,Table1[[#This Row],[Tenure]]&lt;=5),"3-5",AND(Table1[[#This Row],[Tenure]]&gt;5,Table1[[#This Row],[Tenure]]&lt;=8),"5-8")</f>
        <v>3-5</v>
      </c>
      <c r="T104" t="str" cm="1">
        <f t="array" ref="T104">_xlfn.IFS(AND(Table1[[#This Row],[Salary]]&gt;=180000, Table1[[#This Row],[Salary]] &lt;=500000),"Low (180k-500k)", AND(Table1[[#This Row],[Salary]]&gt;500000, Table1[[#This Row],[Salary]]&lt;=800000), "Medium (501k-800k)", AND(Table1[[#This Row],[Salary]]&gt;800000, Table1[[#This Row],[Salary]]&lt;1200000), "High (801k - 1.2m)")</f>
        <v>High (801k - 1.2m)</v>
      </c>
    </row>
    <row r="105" spans="1:20" x14ac:dyDescent="0.2">
      <c r="A105">
        <v>104</v>
      </c>
      <c r="B105" t="s">
        <v>75</v>
      </c>
      <c r="C105" t="s">
        <v>14</v>
      </c>
      <c r="D105">
        <v>44</v>
      </c>
      <c r="E105" t="s">
        <v>45</v>
      </c>
      <c r="F105" t="s">
        <v>34</v>
      </c>
      <c r="G105">
        <v>414143</v>
      </c>
      <c r="H105" t="s">
        <v>144</v>
      </c>
      <c r="I105" t="s">
        <v>145</v>
      </c>
      <c r="J105" t="s">
        <v>55</v>
      </c>
      <c r="K105">
        <v>3</v>
      </c>
      <c r="L105">
        <v>6</v>
      </c>
      <c r="M105">
        <v>66</v>
      </c>
      <c r="N105">
        <f>IF(Table1[[#This Row],[Employment_Status]]="Exited",1,0)</f>
        <v>1</v>
      </c>
      <c r="O105" t="str" cm="1">
        <f t="array" ref="O105">_xlfn.IFS(AND(Table1[[#This Row],[Age]]&gt;=22,Table1[[#This Row],[Age]]&lt;=35),"22-35",AND(Table1[[#This Row],[Age]]&gt;=36,Table1[[#This Row],[Age]]&lt;=45),"36-45",AND(Table1[[#This Row],[Age]]&gt;=46,Table1[[#This Row],[Age]]&lt;=55),"46-55")</f>
        <v>36-45</v>
      </c>
      <c r="P105">
        <f>IF(Table1[[#This Row],[Employment_Status]]="active",1,0)</f>
        <v>0</v>
      </c>
      <c r="Q105">
        <v>1</v>
      </c>
      <c r="R105" s="6">
        <f ca="1">YEARFRAC(Table1[[#This Row],[Hire_Date]],IF(Table1[[#This Row],[Employment_Status]]="Exited",Table1[[#This Row],[Exit_Date]],TODAY()))</f>
        <v>2.7305555555555556</v>
      </c>
      <c r="S105" t="str" cm="1">
        <f t="array" aca="1" ref="S105" ca="1">_xlfn.IFS(AND(Table1[[#This Row],[Tenure]]&gt;=0,Table1[[#This Row],[Tenure]]&lt;=1),"0-1",AND(Table1[[#This Row],[Tenure]]&gt;1,Table1[[#This Row],[Tenure]]&lt;=3),"1-3",AND(Table1[[#This Row],[Tenure]]&gt;3,Table1[[#This Row],[Tenure]]&lt;=5),"3-5",AND(Table1[[#This Row],[Tenure]]&gt;5,Table1[[#This Row],[Tenure]]&lt;=8),"5-8")</f>
        <v>1-3</v>
      </c>
      <c r="T105" t="str" cm="1">
        <f t="array" ref="T105">_xlfn.IFS(AND(Table1[[#This Row],[Salary]]&gt;=180000, Table1[[#This Row],[Salary]] &lt;=500000),"Low (180k-500k)", AND(Table1[[#This Row],[Salary]]&gt;500000, Table1[[#This Row],[Salary]]&lt;=800000), "Medium (501k-800k)", AND(Table1[[#This Row],[Salary]]&gt;800000, Table1[[#This Row],[Salary]]&lt;1200000), "High (801k - 1.2m)")</f>
        <v>Low (180k-500k)</v>
      </c>
    </row>
    <row r="106" spans="1:20" x14ac:dyDescent="0.2">
      <c r="A106">
        <v>105</v>
      </c>
      <c r="B106" t="s">
        <v>19</v>
      </c>
      <c r="C106" t="s">
        <v>14</v>
      </c>
      <c r="D106">
        <v>53</v>
      </c>
      <c r="E106" t="s">
        <v>45</v>
      </c>
      <c r="F106" t="s">
        <v>22</v>
      </c>
      <c r="G106">
        <v>590930</v>
      </c>
      <c r="H106" t="s">
        <v>146</v>
      </c>
      <c r="J106" t="s">
        <v>18</v>
      </c>
      <c r="K106">
        <v>3</v>
      </c>
      <c r="L106">
        <v>29</v>
      </c>
      <c r="M106">
        <v>96</v>
      </c>
      <c r="N106">
        <f>IF(Table1[[#This Row],[Employment_Status]]="Exited",1,0)</f>
        <v>0</v>
      </c>
      <c r="O106" t="str" cm="1">
        <f t="array" ref="O106">_xlfn.IFS(AND(Table1[[#This Row],[Age]]&gt;=22,Table1[[#This Row],[Age]]&lt;=35),"22-35",AND(Table1[[#This Row],[Age]]&gt;=36,Table1[[#This Row],[Age]]&lt;=45),"36-45",AND(Table1[[#This Row],[Age]]&gt;=46,Table1[[#This Row],[Age]]&lt;=55),"46-55")</f>
        <v>46-55</v>
      </c>
      <c r="P106">
        <f>IF(Table1[[#This Row],[Employment_Status]]="active",1,0)</f>
        <v>1</v>
      </c>
      <c r="Q106">
        <v>1</v>
      </c>
      <c r="R106" s="6">
        <f ca="1">YEARFRAC(Table1[[#This Row],[Hire_Date]],IF(Table1[[#This Row],[Employment_Status]]="Exited",Table1[[#This Row],[Exit_Date]],TODAY()))</f>
        <v>4.95</v>
      </c>
      <c r="S106" t="str" cm="1">
        <f t="array" aca="1" ref="S106" ca="1">_xlfn.IFS(AND(Table1[[#This Row],[Tenure]]&gt;=0,Table1[[#This Row],[Tenure]]&lt;=1),"0-1",AND(Table1[[#This Row],[Tenure]]&gt;1,Table1[[#This Row],[Tenure]]&lt;=3),"1-3",AND(Table1[[#This Row],[Tenure]]&gt;3,Table1[[#This Row],[Tenure]]&lt;=5),"3-5",AND(Table1[[#This Row],[Tenure]]&gt;5,Table1[[#This Row],[Tenure]]&lt;=8),"5-8")</f>
        <v>3-5</v>
      </c>
      <c r="T106" t="str" cm="1">
        <f t="array" ref="T106">_xlfn.IFS(AND(Table1[[#This Row],[Salary]]&gt;=180000, Table1[[#This Row],[Salary]] &lt;=500000),"Low (180k-500k)", AND(Table1[[#This Row],[Salary]]&gt;500000, Table1[[#This Row],[Salary]]&lt;=800000), "Medium (501k-800k)", AND(Table1[[#This Row],[Salary]]&gt;800000, Table1[[#This Row],[Salary]]&lt;1200000), "High (801k - 1.2m)")</f>
        <v>Medium (501k-800k)</v>
      </c>
    </row>
    <row r="107" spans="1:20" x14ac:dyDescent="0.2">
      <c r="A107">
        <v>106</v>
      </c>
      <c r="B107" t="s">
        <v>40</v>
      </c>
      <c r="C107" t="s">
        <v>20</v>
      </c>
      <c r="D107">
        <v>28</v>
      </c>
      <c r="E107" t="s">
        <v>45</v>
      </c>
      <c r="F107" t="s">
        <v>16</v>
      </c>
      <c r="G107">
        <v>494853</v>
      </c>
      <c r="H107" t="s">
        <v>147</v>
      </c>
      <c r="J107" t="s">
        <v>18</v>
      </c>
      <c r="K107">
        <v>4</v>
      </c>
      <c r="L107">
        <v>46</v>
      </c>
      <c r="M107">
        <v>87</v>
      </c>
      <c r="N107">
        <f>IF(Table1[[#This Row],[Employment_Status]]="Exited",1,0)</f>
        <v>0</v>
      </c>
      <c r="O107" t="str" cm="1">
        <f t="array" ref="O107">_xlfn.IFS(AND(Table1[[#This Row],[Age]]&gt;=22,Table1[[#This Row],[Age]]&lt;=35),"22-35",AND(Table1[[#This Row],[Age]]&gt;=36,Table1[[#This Row],[Age]]&lt;=45),"36-45",AND(Table1[[#This Row],[Age]]&gt;=46,Table1[[#This Row],[Age]]&lt;=55),"46-55")</f>
        <v>22-35</v>
      </c>
      <c r="P107">
        <f>IF(Table1[[#This Row],[Employment_Status]]="active",1,0)</f>
        <v>1</v>
      </c>
      <c r="Q107">
        <v>1</v>
      </c>
      <c r="R107" s="6">
        <f ca="1">YEARFRAC(Table1[[#This Row],[Hire_Date]],IF(Table1[[#This Row],[Employment_Status]]="Exited",Table1[[#This Row],[Exit_Date]],TODAY()))</f>
        <v>3.3333333333333335</v>
      </c>
      <c r="S107" t="str" cm="1">
        <f t="array" aca="1" ref="S107" ca="1">_xlfn.IFS(AND(Table1[[#This Row],[Tenure]]&gt;=0,Table1[[#This Row],[Tenure]]&lt;=1),"0-1",AND(Table1[[#This Row],[Tenure]]&gt;1,Table1[[#This Row],[Tenure]]&lt;=3),"1-3",AND(Table1[[#This Row],[Tenure]]&gt;3,Table1[[#This Row],[Tenure]]&lt;=5),"3-5",AND(Table1[[#This Row],[Tenure]]&gt;5,Table1[[#This Row],[Tenure]]&lt;=8),"5-8")</f>
        <v>3-5</v>
      </c>
      <c r="T107" t="str" cm="1">
        <f t="array" ref="T107">_xlfn.IFS(AND(Table1[[#This Row],[Salary]]&gt;=180000, Table1[[#This Row],[Salary]] &lt;=500000),"Low (180k-500k)", AND(Table1[[#This Row],[Salary]]&gt;500000, Table1[[#This Row],[Salary]]&lt;=800000), "Medium (501k-800k)", AND(Table1[[#This Row],[Salary]]&gt;800000, Table1[[#This Row],[Salary]]&lt;1200000), "High (801k - 1.2m)")</f>
        <v>Low (180k-500k)</v>
      </c>
    </row>
    <row r="108" spans="1:20" x14ac:dyDescent="0.2">
      <c r="A108">
        <v>107</v>
      </c>
      <c r="B108" t="s">
        <v>47</v>
      </c>
      <c r="C108" t="s">
        <v>14</v>
      </c>
      <c r="D108">
        <v>44</v>
      </c>
      <c r="E108" t="s">
        <v>15</v>
      </c>
      <c r="F108" t="s">
        <v>22</v>
      </c>
      <c r="G108">
        <v>1069823</v>
      </c>
      <c r="H108" t="s">
        <v>148</v>
      </c>
      <c r="J108" t="s">
        <v>18</v>
      </c>
      <c r="K108">
        <v>3</v>
      </c>
      <c r="L108">
        <v>28</v>
      </c>
      <c r="M108">
        <v>69</v>
      </c>
      <c r="N108">
        <f>IF(Table1[[#This Row],[Employment_Status]]="Exited",1,0)</f>
        <v>0</v>
      </c>
      <c r="O108" t="str" cm="1">
        <f t="array" ref="O108">_xlfn.IFS(AND(Table1[[#This Row],[Age]]&gt;=22,Table1[[#This Row],[Age]]&lt;=35),"22-35",AND(Table1[[#This Row],[Age]]&gt;=36,Table1[[#This Row],[Age]]&lt;=45),"36-45",AND(Table1[[#This Row],[Age]]&gt;=46,Table1[[#This Row],[Age]]&lt;=55),"46-55")</f>
        <v>36-45</v>
      </c>
      <c r="P108">
        <f>IF(Table1[[#This Row],[Employment_Status]]="active",1,0)</f>
        <v>1</v>
      </c>
      <c r="Q108">
        <v>1</v>
      </c>
      <c r="R108" s="6">
        <f ca="1">YEARFRAC(Table1[[#This Row],[Hire_Date]],IF(Table1[[#This Row],[Employment_Status]]="Exited",Table1[[#This Row],[Exit_Date]],TODAY()))</f>
        <v>7.125</v>
      </c>
      <c r="S108" t="str" cm="1">
        <f t="array" aca="1" ref="S108" ca="1">_xlfn.IFS(AND(Table1[[#This Row],[Tenure]]&gt;=0,Table1[[#This Row],[Tenure]]&lt;=1),"0-1",AND(Table1[[#This Row],[Tenure]]&gt;1,Table1[[#This Row],[Tenure]]&lt;=3),"1-3",AND(Table1[[#This Row],[Tenure]]&gt;3,Table1[[#This Row],[Tenure]]&lt;=5),"3-5",AND(Table1[[#This Row],[Tenure]]&gt;5,Table1[[#This Row],[Tenure]]&lt;=8),"5-8")</f>
        <v>5-8</v>
      </c>
      <c r="T108" t="str" cm="1">
        <f t="array" ref="T108">_xlfn.IFS(AND(Table1[[#This Row],[Salary]]&gt;=180000, Table1[[#This Row],[Salary]] &lt;=500000),"Low (180k-500k)", AND(Table1[[#This Row],[Salary]]&gt;500000, Table1[[#This Row],[Salary]]&lt;=800000), "Medium (501k-800k)", AND(Table1[[#This Row],[Salary]]&gt;800000, Table1[[#This Row],[Salary]]&lt;1200000), "High (801k - 1.2m)")</f>
        <v>High (801k - 1.2m)</v>
      </c>
    </row>
    <row r="109" spans="1:20" x14ac:dyDescent="0.2">
      <c r="A109">
        <v>108</v>
      </c>
      <c r="B109" t="s">
        <v>36</v>
      </c>
      <c r="C109" t="s">
        <v>20</v>
      </c>
      <c r="D109">
        <v>25</v>
      </c>
      <c r="E109" t="s">
        <v>15</v>
      </c>
      <c r="F109" t="s">
        <v>34</v>
      </c>
      <c r="G109">
        <v>412315</v>
      </c>
      <c r="H109" t="s">
        <v>149</v>
      </c>
      <c r="J109" t="s">
        <v>18</v>
      </c>
      <c r="K109">
        <v>4</v>
      </c>
      <c r="L109">
        <v>35</v>
      </c>
      <c r="M109">
        <v>86</v>
      </c>
      <c r="N109">
        <f>IF(Table1[[#This Row],[Employment_Status]]="Exited",1,0)</f>
        <v>0</v>
      </c>
      <c r="O109" t="str" cm="1">
        <f t="array" ref="O109">_xlfn.IFS(AND(Table1[[#This Row],[Age]]&gt;=22,Table1[[#This Row],[Age]]&lt;=35),"22-35",AND(Table1[[#This Row],[Age]]&gt;=36,Table1[[#This Row],[Age]]&lt;=45),"36-45",AND(Table1[[#This Row],[Age]]&gt;=46,Table1[[#This Row],[Age]]&lt;=55),"46-55")</f>
        <v>22-35</v>
      </c>
      <c r="P109">
        <f>IF(Table1[[#This Row],[Employment_Status]]="active",1,0)</f>
        <v>1</v>
      </c>
      <c r="Q109">
        <v>1</v>
      </c>
      <c r="R109" s="6">
        <f ca="1">YEARFRAC(Table1[[#This Row],[Hire_Date]],IF(Table1[[#This Row],[Employment_Status]]="Exited",Table1[[#This Row],[Exit_Date]],TODAY()))</f>
        <v>2.9</v>
      </c>
      <c r="S109" t="str" cm="1">
        <f t="array" aca="1" ref="S109" ca="1">_xlfn.IFS(AND(Table1[[#This Row],[Tenure]]&gt;=0,Table1[[#This Row],[Tenure]]&lt;=1),"0-1",AND(Table1[[#This Row],[Tenure]]&gt;1,Table1[[#This Row],[Tenure]]&lt;=3),"1-3",AND(Table1[[#This Row],[Tenure]]&gt;3,Table1[[#This Row],[Tenure]]&lt;=5),"3-5",AND(Table1[[#This Row],[Tenure]]&gt;5,Table1[[#This Row],[Tenure]]&lt;=8),"5-8")</f>
        <v>1-3</v>
      </c>
      <c r="T109" t="str" cm="1">
        <f t="array" ref="T109">_xlfn.IFS(AND(Table1[[#This Row],[Salary]]&gt;=180000, Table1[[#This Row],[Salary]] &lt;=500000),"Low (180k-500k)", AND(Table1[[#This Row],[Salary]]&gt;500000, Table1[[#This Row],[Salary]]&lt;=800000), "Medium (501k-800k)", AND(Table1[[#This Row],[Salary]]&gt;800000, Table1[[#This Row],[Salary]]&lt;1200000), "High (801k - 1.2m)")</f>
        <v>Low (180k-500k)</v>
      </c>
    </row>
    <row r="110" spans="1:20" x14ac:dyDescent="0.2">
      <c r="A110">
        <v>109</v>
      </c>
      <c r="B110" t="s">
        <v>58</v>
      </c>
      <c r="C110" t="s">
        <v>14</v>
      </c>
      <c r="D110">
        <v>23</v>
      </c>
      <c r="E110" t="s">
        <v>15</v>
      </c>
      <c r="F110" t="s">
        <v>22</v>
      </c>
      <c r="G110">
        <v>1053683</v>
      </c>
      <c r="H110" t="s">
        <v>150</v>
      </c>
      <c r="J110" t="s">
        <v>18</v>
      </c>
      <c r="K110">
        <v>2</v>
      </c>
      <c r="L110">
        <v>15</v>
      </c>
      <c r="M110">
        <v>68</v>
      </c>
      <c r="N110">
        <f>IF(Table1[[#This Row],[Employment_Status]]="Exited",1,0)</f>
        <v>0</v>
      </c>
      <c r="O110" t="str" cm="1">
        <f t="array" ref="O110">_xlfn.IFS(AND(Table1[[#This Row],[Age]]&gt;=22,Table1[[#This Row],[Age]]&lt;=35),"22-35",AND(Table1[[#This Row],[Age]]&gt;=36,Table1[[#This Row],[Age]]&lt;=45),"36-45",AND(Table1[[#This Row],[Age]]&gt;=46,Table1[[#This Row],[Age]]&lt;=55),"46-55")</f>
        <v>22-35</v>
      </c>
      <c r="P110">
        <f>IF(Table1[[#This Row],[Employment_Status]]="active",1,0)</f>
        <v>1</v>
      </c>
      <c r="Q110">
        <v>1</v>
      </c>
      <c r="R110" s="6">
        <f ca="1">YEARFRAC(Table1[[#This Row],[Hire_Date]],IF(Table1[[#This Row],[Employment_Status]]="Exited",Table1[[#This Row],[Exit_Date]],TODAY()))</f>
        <v>5.322222222222222</v>
      </c>
      <c r="S110" t="str" cm="1">
        <f t="array" aca="1" ref="S110" ca="1">_xlfn.IFS(AND(Table1[[#This Row],[Tenure]]&gt;=0,Table1[[#This Row],[Tenure]]&lt;=1),"0-1",AND(Table1[[#This Row],[Tenure]]&gt;1,Table1[[#This Row],[Tenure]]&lt;=3),"1-3",AND(Table1[[#This Row],[Tenure]]&gt;3,Table1[[#This Row],[Tenure]]&lt;=5),"3-5",AND(Table1[[#This Row],[Tenure]]&gt;5,Table1[[#This Row],[Tenure]]&lt;=8),"5-8")</f>
        <v>5-8</v>
      </c>
      <c r="T110" t="str" cm="1">
        <f t="array" ref="T110">_xlfn.IFS(AND(Table1[[#This Row],[Salary]]&gt;=180000, Table1[[#This Row],[Salary]] &lt;=500000),"Low (180k-500k)", AND(Table1[[#This Row],[Salary]]&gt;500000, Table1[[#This Row],[Salary]]&lt;=800000), "Medium (501k-800k)", AND(Table1[[#This Row],[Salary]]&gt;800000, Table1[[#This Row],[Salary]]&lt;1200000), "High (801k - 1.2m)")</f>
        <v>High (801k - 1.2m)</v>
      </c>
    </row>
    <row r="111" spans="1:20" x14ac:dyDescent="0.2">
      <c r="A111">
        <v>110</v>
      </c>
      <c r="B111" t="s">
        <v>58</v>
      </c>
      <c r="C111" t="s">
        <v>20</v>
      </c>
      <c r="D111">
        <v>45</v>
      </c>
      <c r="E111" t="s">
        <v>15</v>
      </c>
      <c r="F111" t="s">
        <v>16</v>
      </c>
      <c r="G111">
        <v>836860</v>
      </c>
      <c r="H111" t="s">
        <v>151</v>
      </c>
      <c r="J111" t="s">
        <v>18</v>
      </c>
      <c r="K111">
        <v>1</v>
      </c>
      <c r="L111">
        <v>18</v>
      </c>
      <c r="M111">
        <v>70</v>
      </c>
      <c r="N111">
        <f>IF(Table1[[#This Row],[Employment_Status]]="Exited",1,0)</f>
        <v>0</v>
      </c>
      <c r="O111" t="str" cm="1">
        <f t="array" ref="O111">_xlfn.IFS(AND(Table1[[#This Row],[Age]]&gt;=22,Table1[[#This Row],[Age]]&lt;=35),"22-35",AND(Table1[[#This Row],[Age]]&gt;=36,Table1[[#This Row],[Age]]&lt;=45),"36-45",AND(Table1[[#This Row],[Age]]&gt;=46,Table1[[#This Row],[Age]]&lt;=55),"46-55")</f>
        <v>36-45</v>
      </c>
      <c r="P111">
        <f>IF(Table1[[#This Row],[Employment_Status]]="active",1,0)</f>
        <v>1</v>
      </c>
      <c r="Q111">
        <v>1</v>
      </c>
      <c r="R111" s="6">
        <f ca="1">YEARFRAC(Table1[[#This Row],[Hire_Date]],IF(Table1[[#This Row],[Employment_Status]]="Exited",Table1[[#This Row],[Exit_Date]],TODAY()))</f>
        <v>4.4194444444444443</v>
      </c>
      <c r="S111" t="str" cm="1">
        <f t="array" aca="1" ref="S111" ca="1">_xlfn.IFS(AND(Table1[[#This Row],[Tenure]]&gt;=0,Table1[[#This Row],[Tenure]]&lt;=1),"0-1",AND(Table1[[#This Row],[Tenure]]&gt;1,Table1[[#This Row],[Tenure]]&lt;=3),"1-3",AND(Table1[[#This Row],[Tenure]]&gt;3,Table1[[#This Row],[Tenure]]&lt;=5),"3-5",AND(Table1[[#This Row],[Tenure]]&gt;5,Table1[[#This Row],[Tenure]]&lt;=8),"5-8")</f>
        <v>3-5</v>
      </c>
      <c r="T111" t="str" cm="1">
        <f t="array" ref="T111">_xlfn.IFS(AND(Table1[[#This Row],[Salary]]&gt;=180000, Table1[[#This Row],[Salary]] &lt;=500000),"Low (180k-500k)", AND(Table1[[#This Row],[Salary]]&gt;500000, Table1[[#This Row],[Salary]]&lt;=800000), "Medium (501k-800k)", AND(Table1[[#This Row],[Salary]]&gt;800000, Table1[[#This Row],[Salary]]&lt;1200000), "High (801k - 1.2m)")</f>
        <v>High (801k - 1.2m)</v>
      </c>
    </row>
    <row r="112" spans="1:20" x14ac:dyDescent="0.2">
      <c r="A112">
        <v>111</v>
      </c>
      <c r="B112" t="s">
        <v>40</v>
      </c>
      <c r="C112" t="s">
        <v>14</v>
      </c>
      <c r="D112">
        <v>27</v>
      </c>
      <c r="E112" t="s">
        <v>15</v>
      </c>
      <c r="F112" t="s">
        <v>27</v>
      </c>
      <c r="G112">
        <v>795522</v>
      </c>
      <c r="H112" t="s">
        <v>152</v>
      </c>
      <c r="J112" t="s">
        <v>18</v>
      </c>
      <c r="K112">
        <v>2</v>
      </c>
      <c r="L112">
        <v>15</v>
      </c>
      <c r="M112">
        <v>98</v>
      </c>
      <c r="N112">
        <f>IF(Table1[[#This Row],[Employment_Status]]="Exited",1,0)</f>
        <v>0</v>
      </c>
      <c r="O112" t="str" cm="1">
        <f t="array" ref="O112">_xlfn.IFS(AND(Table1[[#This Row],[Age]]&gt;=22,Table1[[#This Row],[Age]]&lt;=35),"22-35",AND(Table1[[#This Row],[Age]]&gt;=36,Table1[[#This Row],[Age]]&lt;=45),"36-45",AND(Table1[[#This Row],[Age]]&gt;=46,Table1[[#This Row],[Age]]&lt;=55),"46-55")</f>
        <v>22-35</v>
      </c>
      <c r="P112">
        <f>IF(Table1[[#This Row],[Employment_Status]]="active",1,0)</f>
        <v>1</v>
      </c>
      <c r="Q112">
        <v>1</v>
      </c>
      <c r="R112" s="6">
        <f ca="1">YEARFRAC(Table1[[#This Row],[Hire_Date]],IF(Table1[[#This Row],[Employment_Status]]="Exited",Table1[[#This Row],[Exit_Date]],TODAY()))</f>
        <v>6.6166666666666663</v>
      </c>
      <c r="S112" t="str" cm="1">
        <f t="array" aca="1" ref="S112" ca="1">_xlfn.IFS(AND(Table1[[#This Row],[Tenure]]&gt;=0,Table1[[#This Row],[Tenure]]&lt;=1),"0-1",AND(Table1[[#This Row],[Tenure]]&gt;1,Table1[[#This Row],[Tenure]]&lt;=3),"1-3",AND(Table1[[#This Row],[Tenure]]&gt;3,Table1[[#This Row],[Tenure]]&lt;=5),"3-5",AND(Table1[[#This Row],[Tenure]]&gt;5,Table1[[#This Row],[Tenure]]&lt;=8),"5-8")</f>
        <v>5-8</v>
      </c>
      <c r="T112" t="str" cm="1">
        <f t="array" ref="T112">_xlfn.IFS(AND(Table1[[#This Row],[Salary]]&gt;=180000, Table1[[#This Row],[Salary]] &lt;=500000),"Low (180k-500k)", AND(Table1[[#This Row],[Salary]]&gt;500000, Table1[[#This Row],[Salary]]&lt;=800000), "Medium (501k-800k)", AND(Table1[[#This Row],[Salary]]&gt;800000, Table1[[#This Row],[Salary]]&lt;1200000), "High (801k - 1.2m)")</f>
        <v>Medium (501k-800k)</v>
      </c>
    </row>
    <row r="113" spans="1:20" x14ac:dyDescent="0.2">
      <c r="A113">
        <v>112</v>
      </c>
      <c r="B113" t="s">
        <v>31</v>
      </c>
      <c r="C113" t="s">
        <v>14</v>
      </c>
      <c r="D113">
        <v>33</v>
      </c>
      <c r="E113" t="s">
        <v>49</v>
      </c>
      <c r="F113" t="s">
        <v>16</v>
      </c>
      <c r="G113">
        <v>289089</v>
      </c>
      <c r="H113" t="s">
        <v>153</v>
      </c>
      <c r="J113" t="s">
        <v>18</v>
      </c>
      <c r="K113">
        <v>2</v>
      </c>
      <c r="L113">
        <v>24</v>
      </c>
      <c r="M113">
        <v>95</v>
      </c>
      <c r="N113">
        <f>IF(Table1[[#This Row],[Employment_Status]]="Exited",1,0)</f>
        <v>0</v>
      </c>
      <c r="O113" t="str" cm="1">
        <f t="array" ref="O113">_xlfn.IFS(AND(Table1[[#This Row],[Age]]&gt;=22,Table1[[#This Row],[Age]]&lt;=35),"22-35",AND(Table1[[#This Row],[Age]]&gt;=36,Table1[[#This Row],[Age]]&lt;=45),"36-45",AND(Table1[[#This Row],[Age]]&gt;=46,Table1[[#This Row],[Age]]&lt;=55),"46-55")</f>
        <v>22-35</v>
      </c>
      <c r="P113">
        <f>IF(Table1[[#This Row],[Employment_Status]]="active",1,0)</f>
        <v>1</v>
      </c>
      <c r="Q113">
        <v>1</v>
      </c>
      <c r="R113" s="6">
        <f ca="1">YEARFRAC(Table1[[#This Row],[Hire_Date]],IF(Table1[[#This Row],[Employment_Status]]="Exited",Table1[[#This Row],[Exit_Date]],TODAY()))</f>
        <v>3.8972222222222221</v>
      </c>
      <c r="S113" t="str" cm="1">
        <f t="array" aca="1" ref="S113" ca="1">_xlfn.IFS(AND(Table1[[#This Row],[Tenure]]&gt;=0,Table1[[#This Row],[Tenure]]&lt;=1),"0-1",AND(Table1[[#This Row],[Tenure]]&gt;1,Table1[[#This Row],[Tenure]]&lt;=3),"1-3",AND(Table1[[#This Row],[Tenure]]&gt;3,Table1[[#This Row],[Tenure]]&lt;=5),"3-5",AND(Table1[[#This Row],[Tenure]]&gt;5,Table1[[#This Row],[Tenure]]&lt;=8),"5-8")</f>
        <v>3-5</v>
      </c>
      <c r="T113" t="str" cm="1">
        <f t="array" ref="T113">_xlfn.IFS(AND(Table1[[#This Row],[Salary]]&gt;=180000, Table1[[#This Row],[Salary]] &lt;=500000),"Low (180k-500k)", AND(Table1[[#This Row],[Salary]]&gt;500000, Table1[[#This Row],[Salary]]&lt;=800000), "Medium (501k-800k)", AND(Table1[[#This Row],[Salary]]&gt;800000, Table1[[#This Row],[Salary]]&lt;1200000), "High (801k - 1.2m)")</f>
        <v>Low (180k-500k)</v>
      </c>
    </row>
    <row r="114" spans="1:20" x14ac:dyDescent="0.2">
      <c r="A114">
        <v>113</v>
      </c>
      <c r="B114" t="s">
        <v>75</v>
      </c>
      <c r="C114" t="s">
        <v>14</v>
      </c>
      <c r="D114">
        <v>42</v>
      </c>
      <c r="E114" t="s">
        <v>15</v>
      </c>
      <c r="F114" t="s">
        <v>16</v>
      </c>
      <c r="G114">
        <v>680769</v>
      </c>
      <c r="H114" t="s">
        <v>154</v>
      </c>
      <c r="J114" t="s">
        <v>18</v>
      </c>
      <c r="K114">
        <v>1</v>
      </c>
      <c r="L114">
        <v>1</v>
      </c>
      <c r="M114">
        <v>68</v>
      </c>
      <c r="N114">
        <f>IF(Table1[[#This Row],[Employment_Status]]="Exited",1,0)</f>
        <v>0</v>
      </c>
      <c r="O114" t="str" cm="1">
        <f t="array" ref="O114">_xlfn.IFS(AND(Table1[[#This Row],[Age]]&gt;=22,Table1[[#This Row],[Age]]&lt;=35),"22-35",AND(Table1[[#This Row],[Age]]&gt;=36,Table1[[#This Row],[Age]]&lt;=45),"36-45",AND(Table1[[#This Row],[Age]]&gt;=46,Table1[[#This Row],[Age]]&lt;=55),"46-55")</f>
        <v>36-45</v>
      </c>
      <c r="P114">
        <f>IF(Table1[[#This Row],[Employment_Status]]="active",1,0)</f>
        <v>1</v>
      </c>
      <c r="Q114">
        <v>1</v>
      </c>
      <c r="R114" s="6">
        <f ca="1">YEARFRAC(Table1[[#This Row],[Hire_Date]],IF(Table1[[#This Row],[Employment_Status]]="Exited",Table1[[#This Row],[Exit_Date]],TODAY()))</f>
        <v>6.4944444444444445</v>
      </c>
      <c r="S114" t="str" cm="1">
        <f t="array" aca="1" ref="S114" ca="1">_xlfn.IFS(AND(Table1[[#This Row],[Tenure]]&gt;=0,Table1[[#This Row],[Tenure]]&lt;=1),"0-1",AND(Table1[[#This Row],[Tenure]]&gt;1,Table1[[#This Row],[Tenure]]&lt;=3),"1-3",AND(Table1[[#This Row],[Tenure]]&gt;3,Table1[[#This Row],[Tenure]]&lt;=5),"3-5",AND(Table1[[#This Row],[Tenure]]&gt;5,Table1[[#This Row],[Tenure]]&lt;=8),"5-8")</f>
        <v>5-8</v>
      </c>
      <c r="T114" t="str" cm="1">
        <f t="array" ref="T114">_xlfn.IFS(AND(Table1[[#This Row],[Salary]]&gt;=180000, Table1[[#This Row],[Salary]] &lt;=500000),"Low (180k-500k)", AND(Table1[[#This Row],[Salary]]&gt;500000, Table1[[#This Row],[Salary]]&lt;=800000), "Medium (501k-800k)", AND(Table1[[#This Row],[Salary]]&gt;800000, Table1[[#This Row],[Salary]]&lt;1200000), "High (801k - 1.2m)")</f>
        <v>Medium (501k-800k)</v>
      </c>
    </row>
    <row r="115" spans="1:20" x14ac:dyDescent="0.2">
      <c r="A115">
        <v>114</v>
      </c>
      <c r="B115" t="s">
        <v>31</v>
      </c>
      <c r="C115" t="s">
        <v>20</v>
      </c>
      <c r="D115">
        <v>37</v>
      </c>
      <c r="E115" t="s">
        <v>45</v>
      </c>
      <c r="F115" t="s">
        <v>27</v>
      </c>
      <c r="G115">
        <v>523636</v>
      </c>
      <c r="H115" t="s">
        <v>155</v>
      </c>
      <c r="J115" t="s">
        <v>18</v>
      </c>
      <c r="K115">
        <v>1</v>
      </c>
      <c r="L115">
        <v>12</v>
      </c>
      <c r="M115">
        <v>66</v>
      </c>
      <c r="N115">
        <f>IF(Table1[[#This Row],[Employment_Status]]="Exited",1,0)</f>
        <v>0</v>
      </c>
      <c r="O115" t="str" cm="1">
        <f t="array" ref="O115">_xlfn.IFS(AND(Table1[[#This Row],[Age]]&gt;=22,Table1[[#This Row],[Age]]&lt;=35),"22-35",AND(Table1[[#This Row],[Age]]&gt;=36,Table1[[#This Row],[Age]]&lt;=45),"36-45",AND(Table1[[#This Row],[Age]]&gt;=46,Table1[[#This Row],[Age]]&lt;=55),"46-55")</f>
        <v>36-45</v>
      </c>
      <c r="P115">
        <f>IF(Table1[[#This Row],[Employment_Status]]="active",1,0)</f>
        <v>1</v>
      </c>
      <c r="Q115">
        <v>1</v>
      </c>
      <c r="R115" s="6">
        <f ca="1">YEARFRAC(Table1[[#This Row],[Hire_Date]],IF(Table1[[#This Row],[Employment_Status]]="Exited",Table1[[#This Row],[Exit_Date]],TODAY()))</f>
        <v>3.375</v>
      </c>
      <c r="S115" t="str" cm="1">
        <f t="array" aca="1" ref="S115" ca="1">_xlfn.IFS(AND(Table1[[#This Row],[Tenure]]&gt;=0,Table1[[#This Row],[Tenure]]&lt;=1),"0-1",AND(Table1[[#This Row],[Tenure]]&gt;1,Table1[[#This Row],[Tenure]]&lt;=3),"1-3",AND(Table1[[#This Row],[Tenure]]&gt;3,Table1[[#This Row],[Tenure]]&lt;=5),"3-5",AND(Table1[[#This Row],[Tenure]]&gt;5,Table1[[#This Row],[Tenure]]&lt;=8),"5-8")</f>
        <v>3-5</v>
      </c>
      <c r="T115" t="str" cm="1">
        <f t="array" ref="T115">_xlfn.IFS(AND(Table1[[#This Row],[Salary]]&gt;=180000, Table1[[#This Row],[Salary]] &lt;=500000),"Low (180k-500k)", AND(Table1[[#This Row],[Salary]]&gt;500000, Table1[[#This Row],[Salary]]&lt;=800000), "Medium (501k-800k)", AND(Table1[[#This Row],[Salary]]&gt;800000, Table1[[#This Row],[Salary]]&lt;1200000), "High (801k - 1.2m)")</f>
        <v>Medium (501k-800k)</v>
      </c>
    </row>
    <row r="116" spans="1:20" x14ac:dyDescent="0.2">
      <c r="A116">
        <v>115</v>
      </c>
      <c r="B116" t="s">
        <v>24</v>
      </c>
      <c r="C116" t="s">
        <v>14</v>
      </c>
      <c r="D116">
        <v>23</v>
      </c>
      <c r="E116" t="s">
        <v>21</v>
      </c>
      <c r="F116" t="s">
        <v>22</v>
      </c>
      <c r="G116">
        <v>462366</v>
      </c>
      <c r="H116" t="s">
        <v>156</v>
      </c>
      <c r="J116" t="s">
        <v>18</v>
      </c>
      <c r="K116">
        <v>4</v>
      </c>
      <c r="L116">
        <v>7</v>
      </c>
      <c r="M116">
        <v>66</v>
      </c>
      <c r="N116">
        <f>IF(Table1[[#This Row],[Employment_Status]]="Exited",1,0)</f>
        <v>0</v>
      </c>
      <c r="O116" t="str" cm="1">
        <f t="array" ref="O116">_xlfn.IFS(AND(Table1[[#This Row],[Age]]&gt;=22,Table1[[#This Row],[Age]]&lt;=35),"22-35",AND(Table1[[#This Row],[Age]]&gt;=36,Table1[[#This Row],[Age]]&lt;=45),"36-45",AND(Table1[[#This Row],[Age]]&gt;=46,Table1[[#This Row],[Age]]&lt;=55),"46-55")</f>
        <v>22-35</v>
      </c>
      <c r="P116">
        <f>IF(Table1[[#This Row],[Employment_Status]]="active",1,0)</f>
        <v>1</v>
      </c>
      <c r="Q116">
        <v>1</v>
      </c>
      <c r="R116" s="6">
        <f ca="1">YEARFRAC(Table1[[#This Row],[Hire_Date]],IF(Table1[[#This Row],[Employment_Status]]="Exited",Table1[[#This Row],[Exit_Date]],TODAY()))</f>
        <v>2.713888888888889</v>
      </c>
      <c r="S116" t="str" cm="1">
        <f t="array" aca="1" ref="S116" ca="1">_xlfn.IFS(AND(Table1[[#This Row],[Tenure]]&gt;=0,Table1[[#This Row],[Tenure]]&lt;=1),"0-1",AND(Table1[[#This Row],[Tenure]]&gt;1,Table1[[#This Row],[Tenure]]&lt;=3),"1-3",AND(Table1[[#This Row],[Tenure]]&gt;3,Table1[[#This Row],[Tenure]]&lt;=5),"3-5",AND(Table1[[#This Row],[Tenure]]&gt;5,Table1[[#This Row],[Tenure]]&lt;=8),"5-8")</f>
        <v>1-3</v>
      </c>
      <c r="T116" t="str" cm="1">
        <f t="array" ref="T116">_xlfn.IFS(AND(Table1[[#This Row],[Salary]]&gt;=180000, Table1[[#This Row],[Salary]] &lt;=500000),"Low (180k-500k)", AND(Table1[[#This Row],[Salary]]&gt;500000, Table1[[#This Row],[Salary]]&lt;=800000), "Medium (501k-800k)", AND(Table1[[#This Row],[Salary]]&gt;800000, Table1[[#This Row],[Salary]]&lt;1200000), "High (801k - 1.2m)")</f>
        <v>Low (180k-500k)</v>
      </c>
    </row>
    <row r="117" spans="1:20" x14ac:dyDescent="0.2">
      <c r="A117">
        <v>116</v>
      </c>
      <c r="B117" t="s">
        <v>40</v>
      </c>
      <c r="C117" t="s">
        <v>14</v>
      </c>
      <c r="D117">
        <v>49</v>
      </c>
      <c r="E117" t="s">
        <v>49</v>
      </c>
      <c r="F117" t="s">
        <v>22</v>
      </c>
      <c r="G117">
        <v>512598</v>
      </c>
      <c r="H117" t="s">
        <v>157</v>
      </c>
      <c r="J117" t="s">
        <v>18</v>
      </c>
      <c r="K117">
        <v>3</v>
      </c>
      <c r="L117">
        <v>40</v>
      </c>
      <c r="M117">
        <v>86</v>
      </c>
      <c r="N117">
        <f>IF(Table1[[#This Row],[Employment_Status]]="Exited",1,0)</f>
        <v>0</v>
      </c>
      <c r="O117" t="str" cm="1">
        <f t="array" ref="O117">_xlfn.IFS(AND(Table1[[#This Row],[Age]]&gt;=22,Table1[[#This Row],[Age]]&lt;=35),"22-35",AND(Table1[[#This Row],[Age]]&gt;=36,Table1[[#This Row],[Age]]&lt;=45),"36-45",AND(Table1[[#This Row],[Age]]&gt;=46,Table1[[#This Row],[Age]]&lt;=55),"46-55")</f>
        <v>46-55</v>
      </c>
      <c r="P117">
        <f>IF(Table1[[#This Row],[Employment_Status]]="active",1,0)</f>
        <v>1</v>
      </c>
      <c r="Q117">
        <v>1</v>
      </c>
      <c r="R117" s="6">
        <f ca="1">YEARFRAC(Table1[[#This Row],[Hire_Date]],IF(Table1[[#This Row],[Employment_Status]]="Exited",Table1[[#This Row],[Exit_Date]],TODAY()))</f>
        <v>4.2888888888888888</v>
      </c>
      <c r="S117" t="str" cm="1">
        <f t="array" aca="1" ref="S117" ca="1">_xlfn.IFS(AND(Table1[[#This Row],[Tenure]]&gt;=0,Table1[[#This Row],[Tenure]]&lt;=1),"0-1",AND(Table1[[#This Row],[Tenure]]&gt;1,Table1[[#This Row],[Tenure]]&lt;=3),"1-3",AND(Table1[[#This Row],[Tenure]]&gt;3,Table1[[#This Row],[Tenure]]&lt;=5),"3-5",AND(Table1[[#This Row],[Tenure]]&gt;5,Table1[[#This Row],[Tenure]]&lt;=8),"5-8")</f>
        <v>3-5</v>
      </c>
      <c r="T117" t="str" cm="1">
        <f t="array" ref="T117">_xlfn.IFS(AND(Table1[[#This Row],[Salary]]&gt;=180000, Table1[[#This Row],[Salary]] &lt;=500000),"Low (180k-500k)", AND(Table1[[#This Row],[Salary]]&gt;500000, Table1[[#This Row],[Salary]]&lt;=800000), "Medium (501k-800k)", AND(Table1[[#This Row],[Salary]]&gt;800000, Table1[[#This Row],[Salary]]&lt;1200000), "High (801k - 1.2m)")</f>
        <v>Medium (501k-800k)</v>
      </c>
    </row>
    <row r="118" spans="1:20" x14ac:dyDescent="0.2">
      <c r="A118">
        <v>117</v>
      </c>
      <c r="B118" t="s">
        <v>26</v>
      </c>
      <c r="C118" t="s">
        <v>14</v>
      </c>
      <c r="D118">
        <v>50</v>
      </c>
      <c r="E118" t="s">
        <v>61</v>
      </c>
      <c r="F118" t="s">
        <v>34</v>
      </c>
      <c r="G118">
        <v>303972</v>
      </c>
      <c r="H118" t="s">
        <v>158</v>
      </c>
      <c r="J118" t="s">
        <v>18</v>
      </c>
      <c r="K118">
        <v>3</v>
      </c>
      <c r="L118">
        <v>44</v>
      </c>
      <c r="M118">
        <v>77</v>
      </c>
      <c r="N118">
        <f>IF(Table1[[#This Row],[Employment_Status]]="Exited",1,0)</f>
        <v>0</v>
      </c>
      <c r="O118" t="str" cm="1">
        <f t="array" ref="O118">_xlfn.IFS(AND(Table1[[#This Row],[Age]]&gt;=22,Table1[[#This Row],[Age]]&lt;=35),"22-35",AND(Table1[[#This Row],[Age]]&gt;=36,Table1[[#This Row],[Age]]&lt;=45),"36-45",AND(Table1[[#This Row],[Age]]&gt;=46,Table1[[#This Row],[Age]]&lt;=55),"46-55")</f>
        <v>46-55</v>
      </c>
      <c r="P118">
        <f>IF(Table1[[#This Row],[Employment_Status]]="active",1,0)</f>
        <v>1</v>
      </c>
      <c r="Q118">
        <v>1</v>
      </c>
      <c r="R118" s="6">
        <f ca="1">YEARFRAC(Table1[[#This Row],[Hire_Date]],IF(Table1[[#This Row],[Employment_Status]]="Exited",Table1[[#This Row],[Exit_Date]],TODAY()))</f>
        <v>5.697222222222222</v>
      </c>
      <c r="S118" t="str" cm="1">
        <f t="array" aca="1" ref="S118" ca="1">_xlfn.IFS(AND(Table1[[#This Row],[Tenure]]&gt;=0,Table1[[#This Row],[Tenure]]&lt;=1),"0-1",AND(Table1[[#This Row],[Tenure]]&gt;1,Table1[[#This Row],[Tenure]]&lt;=3),"1-3",AND(Table1[[#This Row],[Tenure]]&gt;3,Table1[[#This Row],[Tenure]]&lt;=5),"3-5",AND(Table1[[#This Row],[Tenure]]&gt;5,Table1[[#This Row],[Tenure]]&lt;=8),"5-8")</f>
        <v>5-8</v>
      </c>
      <c r="T118" t="str" cm="1">
        <f t="array" ref="T118">_xlfn.IFS(AND(Table1[[#This Row],[Salary]]&gt;=180000, Table1[[#This Row],[Salary]] &lt;=500000),"Low (180k-500k)", AND(Table1[[#This Row],[Salary]]&gt;500000, Table1[[#This Row],[Salary]]&lt;=800000), "Medium (501k-800k)", AND(Table1[[#This Row],[Salary]]&gt;800000, Table1[[#This Row],[Salary]]&lt;1200000), "High (801k - 1.2m)")</f>
        <v>Low (180k-500k)</v>
      </c>
    </row>
    <row r="119" spans="1:20" x14ac:dyDescent="0.2">
      <c r="A119">
        <v>118</v>
      </c>
      <c r="B119" t="s">
        <v>33</v>
      </c>
      <c r="C119" t="s">
        <v>14</v>
      </c>
      <c r="D119">
        <v>37</v>
      </c>
      <c r="E119" t="s">
        <v>21</v>
      </c>
      <c r="F119" t="s">
        <v>34</v>
      </c>
      <c r="G119">
        <v>571214</v>
      </c>
      <c r="H119" t="s">
        <v>159</v>
      </c>
      <c r="I119" t="s">
        <v>160</v>
      </c>
      <c r="J119" t="s">
        <v>55</v>
      </c>
      <c r="K119">
        <v>5</v>
      </c>
      <c r="L119">
        <v>47</v>
      </c>
      <c r="M119">
        <v>72</v>
      </c>
      <c r="N119">
        <f>IF(Table1[[#This Row],[Employment_Status]]="Exited",1,0)</f>
        <v>1</v>
      </c>
      <c r="O119" t="str" cm="1">
        <f t="array" ref="O119">_xlfn.IFS(AND(Table1[[#This Row],[Age]]&gt;=22,Table1[[#This Row],[Age]]&lt;=35),"22-35",AND(Table1[[#This Row],[Age]]&gt;=36,Table1[[#This Row],[Age]]&lt;=45),"36-45",AND(Table1[[#This Row],[Age]]&gt;=46,Table1[[#This Row],[Age]]&lt;=55),"46-55")</f>
        <v>36-45</v>
      </c>
      <c r="P119">
        <f>IF(Table1[[#This Row],[Employment_Status]]="active",1,0)</f>
        <v>0</v>
      </c>
      <c r="Q119">
        <v>1</v>
      </c>
      <c r="R119" s="6">
        <f ca="1">YEARFRAC(Table1[[#This Row],[Hire_Date]],IF(Table1[[#This Row],[Employment_Status]]="Exited",Table1[[#This Row],[Exit_Date]],TODAY()))</f>
        <v>2.6583333333333332</v>
      </c>
      <c r="S119" t="str" cm="1">
        <f t="array" aca="1" ref="S119" ca="1">_xlfn.IFS(AND(Table1[[#This Row],[Tenure]]&gt;=0,Table1[[#This Row],[Tenure]]&lt;=1),"0-1",AND(Table1[[#This Row],[Tenure]]&gt;1,Table1[[#This Row],[Tenure]]&lt;=3),"1-3",AND(Table1[[#This Row],[Tenure]]&gt;3,Table1[[#This Row],[Tenure]]&lt;=5),"3-5",AND(Table1[[#This Row],[Tenure]]&gt;5,Table1[[#This Row],[Tenure]]&lt;=8),"5-8")</f>
        <v>1-3</v>
      </c>
      <c r="T119" t="str" cm="1">
        <f t="array" ref="T119">_xlfn.IFS(AND(Table1[[#This Row],[Salary]]&gt;=180000, Table1[[#This Row],[Salary]] &lt;=500000),"Low (180k-500k)", AND(Table1[[#This Row],[Salary]]&gt;500000, Table1[[#This Row],[Salary]]&lt;=800000), "Medium (501k-800k)", AND(Table1[[#This Row],[Salary]]&gt;800000, Table1[[#This Row],[Salary]]&lt;1200000), "High (801k - 1.2m)")</f>
        <v>Medium (501k-800k)</v>
      </c>
    </row>
    <row r="120" spans="1:20" x14ac:dyDescent="0.2">
      <c r="A120">
        <v>119</v>
      </c>
      <c r="B120" t="s">
        <v>31</v>
      </c>
      <c r="C120" t="s">
        <v>14</v>
      </c>
      <c r="D120">
        <v>42</v>
      </c>
      <c r="E120" t="s">
        <v>61</v>
      </c>
      <c r="F120" t="s">
        <v>27</v>
      </c>
      <c r="G120">
        <v>187357</v>
      </c>
      <c r="H120" t="s">
        <v>161</v>
      </c>
      <c r="J120" t="s">
        <v>18</v>
      </c>
      <c r="K120">
        <v>3</v>
      </c>
      <c r="L120">
        <v>23</v>
      </c>
      <c r="M120">
        <v>81</v>
      </c>
      <c r="N120">
        <f>IF(Table1[[#This Row],[Employment_Status]]="Exited",1,0)</f>
        <v>0</v>
      </c>
      <c r="O120" t="str" cm="1">
        <f t="array" ref="O120">_xlfn.IFS(AND(Table1[[#This Row],[Age]]&gt;=22,Table1[[#This Row],[Age]]&lt;=35),"22-35",AND(Table1[[#This Row],[Age]]&gt;=36,Table1[[#This Row],[Age]]&lt;=45),"36-45",AND(Table1[[#This Row],[Age]]&gt;=46,Table1[[#This Row],[Age]]&lt;=55),"46-55")</f>
        <v>36-45</v>
      </c>
      <c r="P120">
        <f>IF(Table1[[#This Row],[Employment_Status]]="active",1,0)</f>
        <v>1</v>
      </c>
      <c r="Q120">
        <v>1</v>
      </c>
      <c r="R120" s="6">
        <f ca="1">YEARFRAC(Table1[[#This Row],[Hire_Date]],IF(Table1[[#This Row],[Employment_Status]]="Exited",Table1[[#This Row],[Exit_Date]],TODAY()))</f>
        <v>3.9972222222222222</v>
      </c>
      <c r="S120" t="str" cm="1">
        <f t="array" aca="1" ref="S120" ca="1">_xlfn.IFS(AND(Table1[[#This Row],[Tenure]]&gt;=0,Table1[[#This Row],[Tenure]]&lt;=1),"0-1",AND(Table1[[#This Row],[Tenure]]&gt;1,Table1[[#This Row],[Tenure]]&lt;=3),"1-3",AND(Table1[[#This Row],[Tenure]]&gt;3,Table1[[#This Row],[Tenure]]&lt;=5),"3-5",AND(Table1[[#This Row],[Tenure]]&gt;5,Table1[[#This Row],[Tenure]]&lt;=8),"5-8")</f>
        <v>3-5</v>
      </c>
      <c r="T120" t="str" cm="1">
        <f t="array" ref="T120">_xlfn.IFS(AND(Table1[[#This Row],[Salary]]&gt;=180000, Table1[[#This Row],[Salary]] &lt;=500000),"Low (180k-500k)", AND(Table1[[#This Row],[Salary]]&gt;500000, Table1[[#This Row],[Salary]]&lt;=800000), "Medium (501k-800k)", AND(Table1[[#This Row],[Salary]]&gt;800000, Table1[[#This Row],[Salary]]&lt;1200000), "High (801k - 1.2m)")</f>
        <v>Low (180k-500k)</v>
      </c>
    </row>
    <row r="121" spans="1:20" x14ac:dyDescent="0.2">
      <c r="A121">
        <v>120</v>
      </c>
      <c r="B121" t="s">
        <v>24</v>
      </c>
      <c r="C121" t="s">
        <v>14</v>
      </c>
      <c r="D121">
        <v>46</v>
      </c>
      <c r="E121" t="s">
        <v>61</v>
      </c>
      <c r="F121" t="s">
        <v>34</v>
      </c>
      <c r="G121">
        <v>215939</v>
      </c>
      <c r="H121" t="s">
        <v>162</v>
      </c>
      <c r="I121" t="s">
        <v>163</v>
      </c>
      <c r="J121" t="s">
        <v>55</v>
      </c>
      <c r="K121">
        <v>3</v>
      </c>
      <c r="L121">
        <v>27</v>
      </c>
      <c r="M121">
        <v>93</v>
      </c>
      <c r="N121">
        <f>IF(Table1[[#This Row],[Employment_Status]]="Exited",1,0)</f>
        <v>1</v>
      </c>
      <c r="O121" t="str" cm="1">
        <f t="array" ref="O121">_xlfn.IFS(AND(Table1[[#This Row],[Age]]&gt;=22,Table1[[#This Row],[Age]]&lt;=35),"22-35",AND(Table1[[#This Row],[Age]]&gt;=36,Table1[[#This Row],[Age]]&lt;=45),"36-45",AND(Table1[[#This Row],[Age]]&gt;=46,Table1[[#This Row],[Age]]&lt;=55),"46-55")</f>
        <v>46-55</v>
      </c>
      <c r="P121">
        <f>IF(Table1[[#This Row],[Employment_Status]]="active",1,0)</f>
        <v>0</v>
      </c>
      <c r="Q121">
        <v>1</v>
      </c>
      <c r="R121" s="6">
        <f ca="1">YEARFRAC(Table1[[#This Row],[Hire_Date]],IF(Table1[[#This Row],[Employment_Status]]="Exited",Table1[[#This Row],[Exit_Date]],TODAY()))</f>
        <v>1.2083333333333333</v>
      </c>
      <c r="S121" t="str" cm="1">
        <f t="array" aca="1" ref="S121" ca="1">_xlfn.IFS(AND(Table1[[#This Row],[Tenure]]&gt;=0,Table1[[#This Row],[Tenure]]&lt;=1),"0-1",AND(Table1[[#This Row],[Tenure]]&gt;1,Table1[[#This Row],[Tenure]]&lt;=3),"1-3",AND(Table1[[#This Row],[Tenure]]&gt;3,Table1[[#This Row],[Tenure]]&lt;=5),"3-5",AND(Table1[[#This Row],[Tenure]]&gt;5,Table1[[#This Row],[Tenure]]&lt;=8),"5-8")</f>
        <v>1-3</v>
      </c>
      <c r="T121" t="str" cm="1">
        <f t="array" ref="T121">_xlfn.IFS(AND(Table1[[#This Row],[Salary]]&gt;=180000, Table1[[#This Row],[Salary]] &lt;=500000),"Low (180k-500k)", AND(Table1[[#This Row],[Salary]]&gt;500000, Table1[[#This Row],[Salary]]&lt;=800000), "Medium (501k-800k)", AND(Table1[[#This Row],[Salary]]&gt;800000, Table1[[#This Row],[Salary]]&lt;1200000), "High (801k - 1.2m)")</f>
        <v>Low (180k-500k)</v>
      </c>
    </row>
    <row r="122" spans="1:20" x14ac:dyDescent="0.2">
      <c r="A122">
        <v>121</v>
      </c>
      <c r="B122" t="s">
        <v>13</v>
      </c>
      <c r="C122" t="s">
        <v>14</v>
      </c>
      <c r="D122">
        <v>49</v>
      </c>
      <c r="E122" t="s">
        <v>49</v>
      </c>
      <c r="F122" t="s">
        <v>16</v>
      </c>
      <c r="G122">
        <v>391334</v>
      </c>
      <c r="H122" t="s">
        <v>164</v>
      </c>
      <c r="J122" t="s">
        <v>18</v>
      </c>
      <c r="K122">
        <v>2</v>
      </c>
      <c r="L122">
        <v>21</v>
      </c>
      <c r="M122">
        <v>83</v>
      </c>
      <c r="N122">
        <f>IF(Table1[[#This Row],[Employment_Status]]="Exited",1,0)</f>
        <v>0</v>
      </c>
      <c r="O122" t="str" cm="1">
        <f t="array" ref="O122">_xlfn.IFS(AND(Table1[[#This Row],[Age]]&gt;=22,Table1[[#This Row],[Age]]&lt;=35),"22-35",AND(Table1[[#This Row],[Age]]&gt;=36,Table1[[#This Row],[Age]]&lt;=45),"36-45",AND(Table1[[#This Row],[Age]]&gt;=46,Table1[[#This Row],[Age]]&lt;=55),"46-55")</f>
        <v>46-55</v>
      </c>
      <c r="P122">
        <f>IF(Table1[[#This Row],[Employment_Status]]="active",1,0)</f>
        <v>1</v>
      </c>
      <c r="Q122">
        <v>1</v>
      </c>
      <c r="R122" s="6">
        <f ca="1">YEARFRAC(Table1[[#This Row],[Hire_Date]],IF(Table1[[#This Row],[Employment_Status]]="Exited",Table1[[#This Row],[Exit_Date]],TODAY()))</f>
        <v>5.6527777777777777</v>
      </c>
      <c r="S122" t="str" cm="1">
        <f t="array" aca="1" ref="S122" ca="1">_xlfn.IFS(AND(Table1[[#This Row],[Tenure]]&gt;=0,Table1[[#This Row],[Tenure]]&lt;=1),"0-1",AND(Table1[[#This Row],[Tenure]]&gt;1,Table1[[#This Row],[Tenure]]&lt;=3),"1-3",AND(Table1[[#This Row],[Tenure]]&gt;3,Table1[[#This Row],[Tenure]]&lt;=5),"3-5",AND(Table1[[#This Row],[Tenure]]&gt;5,Table1[[#This Row],[Tenure]]&lt;=8),"5-8")</f>
        <v>5-8</v>
      </c>
      <c r="T122" t="str" cm="1">
        <f t="array" ref="T122">_xlfn.IFS(AND(Table1[[#This Row],[Salary]]&gt;=180000, Table1[[#This Row],[Salary]] &lt;=500000),"Low (180k-500k)", AND(Table1[[#This Row],[Salary]]&gt;500000, Table1[[#This Row],[Salary]]&lt;=800000), "Medium (501k-800k)", AND(Table1[[#This Row],[Salary]]&gt;800000, Table1[[#This Row],[Salary]]&lt;1200000), "High (801k - 1.2m)")</f>
        <v>Low (180k-500k)</v>
      </c>
    </row>
    <row r="123" spans="1:20" x14ac:dyDescent="0.2">
      <c r="A123">
        <v>122</v>
      </c>
      <c r="B123" t="s">
        <v>47</v>
      </c>
      <c r="C123" t="s">
        <v>20</v>
      </c>
      <c r="D123">
        <v>33</v>
      </c>
      <c r="E123" t="s">
        <v>15</v>
      </c>
      <c r="F123" t="s">
        <v>22</v>
      </c>
      <c r="G123">
        <v>624349</v>
      </c>
      <c r="H123" t="s">
        <v>165</v>
      </c>
      <c r="I123" t="s">
        <v>166</v>
      </c>
      <c r="J123" t="s">
        <v>55</v>
      </c>
      <c r="K123">
        <v>3</v>
      </c>
      <c r="L123">
        <v>20</v>
      </c>
      <c r="M123">
        <v>97</v>
      </c>
      <c r="N123">
        <f>IF(Table1[[#This Row],[Employment_Status]]="Exited",1,0)</f>
        <v>1</v>
      </c>
      <c r="O123" t="str" cm="1">
        <f t="array" ref="O123">_xlfn.IFS(AND(Table1[[#This Row],[Age]]&gt;=22,Table1[[#This Row],[Age]]&lt;=35),"22-35",AND(Table1[[#This Row],[Age]]&gt;=36,Table1[[#This Row],[Age]]&lt;=45),"36-45",AND(Table1[[#This Row],[Age]]&gt;=46,Table1[[#This Row],[Age]]&lt;=55),"46-55")</f>
        <v>22-35</v>
      </c>
      <c r="P123">
        <f>IF(Table1[[#This Row],[Employment_Status]]="active",1,0)</f>
        <v>0</v>
      </c>
      <c r="Q123">
        <v>1</v>
      </c>
      <c r="R123" s="6">
        <f ca="1">YEARFRAC(Table1[[#This Row],[Hire_Date]],IF(Table1[[#This Row],[Employment_Status]]="Exited",Table1[[#This Row],[Exit_Date]],TODAY()))</f>
        <v>0.83333333333333337</v>
      </c>
      <c r="S123" t="str" cm="1">
        <f t="array" aca="1" ref="S123" ca="1">_xlfn.IFS(AND(Table1[[#This Row],[Tenure]]&gt;=0,Table1[[#This Row],[Tenure]]&lt;=1),"0-1",AND(Table1[[#This Row],[Tenure]]&gt;1,Table1[[#This Row],[Tenure]]&lt;=3),"1-3",AND(Table1[[#This Row],[Tenure]]&gt;3,Table1[[#This Row],[Tenure]]&lt;=5),"3-5",AND(Table1[[#This Row],[Tenure]]&gt;5,Table1[[#This Row],[Tenure]]&lt;=8),"5-8")</f>
        <v>0-1</v>
      </c>
      <c r="T123" t="str" cm="1">
        <f t="array" ref="T123">_xlfn.IFS(AND(Table1[[#This Row],[Salary]]&gt;=180000, Table1[[#This Row],[Salary]] &lt;=500000),"Low (180k-500k)", AND(Table1[[#This Row],[Salary]]&gt;500000, Table1[[#This Row],[Salary]]&lt;=800000), "Medium (501k-800k)", AND(Table1[[#This Row],[Salary]]&gt;800000, Table1[[#This Row],[Salary]]&lt;1200000), "High (801k - 1.2m)")</f>
        <v>Medium (501k-800k)</v>
      </c>
    </row>
    <row r="124" spans="1:20" x14ac:dyDescent="0.2">
      <c r="A124">
        <v>123</v>
      </c>
      <c r="B124" t="s">
        <v>13</v>
      </c>
      <c r="C124" t="s">
        <v>14</v>
      </c>
      <c r="D124">
        <v>34</v>
      </c>
      <c r="E124" t="s">
        <v>21</v>
      </c>
      <c r="F124" t="s">
        <v>16</v>
      </c>
      <c r="G124">
        <v>605458</v>
      </c>
      <c r="H124" t="s">
        <v>167</v>
      </c>
      <c r="I124" t="s">
        <v>168</v>
      </c>
      <c r="J124" t="s">
        <v>55</v>
      </c>
      <c r="K124">
        <v>4</v>
      </c>
      <c r="L124">
        <v>5</v>
      </c>
      <c r="M124">
        <v>98</v>
      </c>
      <c r="N124">
        <f>IF(Table1[[#This Row],[Employment_Status]]="Exited",1,0)</f>
        <v>1</v>
      </c>
      <c r="O124" t="str" cm="1">
        <f t="array" ref="O124">_xlfn.IFS(AND(Table1[[#This Row],[Age]]&gt;=22,Table1[[#This Row],[Age]]&lt;=35),"22-35",AND(Table1[[#This Row],[Age]]&gt;=36,Table1[[#This Row],[Age]]&lt;=45),"36-45",AND(Table1[[#This Row],[Age]]&gt;=46,Table1[[#This Row],[Age]]&lt;=55),"46-55")</f>
        <v>22-35</v>
      </c>
      <c r="P124">
        <f>IF(Table1[[#This Row],[Employment_Status]]="active",1,0)</f>
        <v>0</v>
      </c>
      <c r="Q124">
        <v>1</v>
      </c>
      <c r="R124" s="6">
        <f ca="1">YEARFRAC(Table1[[#This Row],[Hire_Date]],IF(Table1[[#This Row],[Employment_Status]]="Exited",Table1[[#This Row],[Exit_Date]],TODAY()))</f>
        <v>0.70833333333333337</v>
      </c>
      <c r="S124" t="str" cm="1">
        <f t="array" aca="1" ref="S124" ca="1">_xlfn.IFS(AND(Table1[[#This Row],[Tenure]]&gt;=0,Table1[[#This Row],[Tenure]]&lt;=1),"0-1",AND(Table1[[#This Row],[Tenure]]&gt;1,Table1[[#This Row],[Tenure]]&lt;=3),"1-3",AND(Table1[[#This Row],[Tenure]]&gt;3,Table1[[#This Row],[Tenure]]&lt;=5),"3-5",AND(Table1[[#This Row],[Tenure]]&gt;5,Table1[[#This Row],[Tenure]]&lt;=8),"5-8")</f>
        <v>0-1</v>
      </c>
      <c r="T124" t="str" cm="1">
        <f t="array" ref="T124">_xlfn.IFS(AND(Table1[[#This Row],[Salary]]&gt;=180000, Table1[[#This Row],[Salary]] &lt;=500000),"Low (180k-500k)", AND(Table1[[#This Row],[Salary]]&gt;500000, Table1[[#This Row],[Salary]]&lt;=800000), "Medium (501k-800k)", AND(Table1[[#This Row],[Salary]]&gt;800000, Table1[[#This Row],[Salary]]&lt;1200000), "High (801k - 1.2m)")</f>
        <v>Medium (501k-800k)</v>
      </c>
    </row>
    <row r="125" spans="1:20" x14ac:dyDescent="0.2">
      <c r="A125">
        <v>124</v>
      </c>
      <c r="B125" t="s">
        <v>26</v>
      </c>
      <c r="C125" t="s">
        <v>14</v>
      </c>
      <c r="D125">
        <v>47</v>
      </c>
      <c r="E125" t="s">
        <v>21</v>
      </c>
      <c r="F125" t="s">
        <v>16</v>
      </c>
      <c r="G125">
        <v>420041</v>
      </c>
      <c r="H125" t="s">
        <v>169</v>
      </c>
      <c r="I125" t="s">
        <v>170</v>
      </c>
      <c r="J125" t="s">
        <v>55</v>
      </c>
      <c r="K125">
        <v>2</v>
      </c>
      <c r="L125">
        <v>29</v>
      </c>
      <c r="M125">
        <v>71</v>
      </c>
      <c r="N125">
        <f>IF(Table1[[#This Row],[Employment_Status]]="Exited",1,0)</f>
        <v>1</v>
      </c>
      <c r="O125" t="str" cm="1">
        <f t="array" ref="O125">_xlfn.IFS(AND(Table1[[#This Row],[Age]]&gt;=22,Table1[[#This Row],[Age]]&lt;=35),"22-35",AND(Table1[[#This Row],[Age]]&gt;=36,Table1[[#This Row],[Age]]&lt;=45),"36-45",AND(Table1[[#This Row],[Age]]&gt;=46,Table1[[#This Row],[Age]]&lt;=55),"46-55")</f>
        <v>46-55</v>
      </c>
      <c r="P125">
        <f>IF(Table1[[#This Row],[Employment_Status]]="active",1,0)</f>
        <v>0</v>
      </c>
      <c r="Q125">
        <v>1</v>
      </c>
      <c r="R125" s="6">
        <f ca="1">YEARFRAC(Table1[[#This Row],[Hire_Date]],IF(Table1[[#This Row],[Employment_Status]]="Exited",Table1[[#This Row],[Exit_Date]],TODAY()))</f>
        <v>2.1166666666666667</v>
      </c>
      <c r="S125" t="str" cm="1">
        <f t="array" aca="1" ref="S125" ca="1">_xlfn.IFS(AND(Table1[[#This Row],[Tenure]]&gt;=0,Table1[[#This Row],[Tenure]]&lt;=1),"0-1",AND(Table1[[#This Row],[Tenure]]&gt;1,Table1[[#This Row],[Tenure]]&lt;=3),"1-3",AND(Table1[[#This Row],[Tenure]]&gt;3,Table1[[#This Row],[Tenure]]&lt;=5),"3-5",AND(Table1[[#This Row],[Tenure]]&gt;5,Table1[[#This Row],[Tenure]]&lt;=8),"5-8")</f>
        <v>1-3</v>
      </c>
      <c r="T125" t="str" cm="1">
        <f t="array" ref="T125">_xlfn.IFS(AND(Table1[[#This Row],[Salary]]&gt;=180000, Table1[[#This Row],[Salary]] &lt;=500000),"Low (180k-500k)", AND(Table1[[#This Row],[Salary]]&gt;500000, Table1[[#This Row],[Salary]]&lt;=800000), "Medium (501k-800k)", AND(Table1[[#This Row],[Salary]]&gt;800000, Table1[[#This Row],[Salary]]&lt;1200000), "High (801k - 1.2m)")</f>
        <v>Low (180k-500k)</v>
      </c>
    </row>
    <row r="126" spans="1:20" x14ac:dyDescent="0.2">
      <c r="A126">
        <v>125</v>
      </c>
      <c r="B126" t="s">
        <v>13</v>
      </c>
      <c r="C126" t="s">
        <v>14</v>
      </c>
      <c r="D126">
        <v>45</v>
      </c>
      <c r="E126" t="s">
        <v>15</v>
      </c>
      <c r="F126" t="s">
        <v>34</v>
      </c>
      <c r="G126">
        <v>437620</v>
      </c>
      <c r="H126" t="s">
        <v>171</v>
      </c>
      <c r="J126" t="s">
        <v>18</v>
      </c>
      <c r="K126">
        <v>3</v>
      </c>
      <c r="L126">
        <v>19</v>
      </c>
      <c r="M126">
        <v>71</v>
      </c>
      <c r="N126">
        <f>IF(Table1[[#This Row],[Employment_Status]]="Exited",1,0)</f>
        <v>0</v>
      </c>
      <c r="O126" t="str" cm="1">
        <f t="array" ref="O126">_xlfn.IFS(AND(Table1[[#This Row],[Age]]&gt;=22,Table1[[#This Row],[Age]]&lt;=35),"22-35",AND(Table1[[#This Row],[Age]]&gt;=36,Table1[[#This Row],[Age]]&lt;=45),"36-45",AND(Table1[[#This Row],[Age]]&gt;=46,Table1[[#This Row],[Age]]&lt;=55),"46-55")</f>
        <v>36-45</v>
      </c>
      <c r="P126">
        <f>IF(Table1[[#This Row],[Employment_Status]]="active",1,0)</f>
        <v>1</v>
      </c>
      <c r="Q126">
        <v>1</v>
      </c>
      <c r="R126" s="6">
        <f ca="1">YEARFRAC(Table1[[#This Row],[Hire_Date]],IF(Table1[[#This Row],[Employment_Status]]="Exited",Table1[[#This Row],[Exit_Date]],TODAY()))</f>
        <v>5.333333333333333</v>
      </c>
      <c r="S126" t="str" cm="1">
        <f t="array" aca="1" ref="S126" ca="1">_xlfn.IFS(AND(Table1[[#This Row],[Tenure]]&gt;=0,Table1[[#This Row],[Tenure]]&lt;=1),"0-1",AND(Table1[[#This Row],[Tenure]]&gt;1,Table1[[#This Row],[Tenure]]&lt;=3),"1-3",AND(Table1[[#This Row],[Tenure]]&gt;3,Table1[[#This Row],[Tenure]]&lt;=5),"3-5",AND(Table1[[#This Row],[Tenure]]&gt;5,Table1[[#This Row],[Tenure]]&lt;=8),"5-8")</f>
        <v>5-8</v>
      </c>
      <c r="T126" t="str" cm="1">
        <f t="array" ref="T126">_xlfn.IFS(AND(Table1[[#This Row],[Salary]]&gt;=180000, Table1[[#This Row],[Salary]] &lt;=500000),"Low (180k-500k)", AND(Table1[[#This Row],[Salary]]&gt;500000, Table1[[#This Row],[Salary]]&lt;=800000), "Medium (501k-800k)", AND(Table1[[#This Row],[Salary]]&gt;800000, Table1[[#This Row],[Salary]]&lt;1200000), "High (801k - 1.2m)")</f>
        <v>Low (180k-500k)</v>
      </c>
    </row>
    <row r="127" spans="1:20" x14ac:dyDescent="0.2">
      <c r="A127">
        <v>126</v>
      </c>
      <c r="B127" t="s">
        <v>75</v>
      </c>
      <c r="C127" t="s">
        <v>14</v>
      </c>
      <c r="D127">
        <v>38</v>
      </c>
      <c r="E127" t="s">
        <v>61</v>
      </c>
      <c r="F127" t="s">
        <v>27</v>
      </c>
      <c r="G127">
        <v>247558</v>
      </c>
      <c r="H127" t="s">
        <v>172</v>
      </c>
      <c r="J127" t="s">
        <v>18</v>
      </c>
      <c r="K127">
        <v>4</v>
      </c>
      <c r="L127">
        <v>10</v>
      </c>
      <c r="M127">
        <v>93</v>
      </c>
      <c r="N127">
        <f>IF(Table1[[#This Row],[Employment_Status]]="Exited",1,0)</f>
        <v>0</v>
      </c>
      <c r="O127" t="str" cm="1">
        <f t="array" ref="O127">_xlfn.IFS(AND(Table1[[#This Row],[Age]]&gt;=22,Table1[[#This Row],[Age]]&lt;=35),"22-35",AND(Table1[[#This Row],[Age]]&gt;=36,Table1[[#This Row],[Age]]&lt;=45),"36-45",AND(Table1[[#This Row],[Age]]&gt;=46,Table1[[#This Row],[Age]]&lt;=55),"46-55")</f>
        <v>36-45</v>
      </c>
      <c r="P127">
        <f>IF(Table1[[#This Row],[Employment_Status]]="active",1,0)</f>
        <v>1</v>
      </c>
      <c r="Q127">
        <v>1</v>
      </c>
      <c r="R127" s="6">
        <f ca="1">YEARFRAC(Table1[[#This Row],[Hire_Date]],IF(Table1[[#This Row],[Employment_Status]]="Exited",Table1[[#This Row],[Exit_Date]],TODAY()))</f>
        <v>3.5611111111111109</v>
      </c>
      <c r="S127" t="str" cm="1">
        <f t="array" aca="1" ref="S127" ca="1">_xlfn.IFS(AND(Table1[[#This Row],[Tenure]]&gt;=0,Table1[[#This Row],[Tenure]]&lt;=1),"0-1",AND(Table1[[#This Row],[Tenure]]&gt;1,Table1[[#This Row],[Tenure]]&lt;=3),"1-3",AND(Table1[[#This Row],[Tenure]]&gt;3,Table1[[#This Row],[Tenure]]&lt;=5),"3-5",AND(Table1[[#This Row],[Tenure]]&gt;5,Table1[[#This Row],[Tenure]]&lt;=8),"5-8")</f>
        <v>3-5</v>
      </c>
      <c r="T127" t="str" cm="1">
        <f t="array" ref="T127">_xlfn.IFS(AND(Table1[[#This Row],[Salary]]&gt;=180000, Table1[[#This Row],[Salary]] &lt;=500000),"Low (180k-500k)", AND(Table1[[#This Row],[Salary]]&gt;500000, Table1[[#This Row],[Salary]]&lt;=800000), "Medium (501k-800k)", AND(Table1[[#This Row],[Salary]]&gt;800000, Table1[[#This Row],[Salary]]&lt;1200000), "High (801k - 1.2m)")</f>
        <v>Low (180k-500k)</v>
      </c>
    </row>
    <row r="128" spans="1:20" x14ac:dyDescent="0.2">
      <c r="A128">
        <v>127</v>
      </c>
      <c r="B128" t="s">
        <v>19</v>
      </c>
      <c r="C128" t="s">
        <v>20</v>
      </c>
      <c r="D128">
        <v>45</v>
      </c>
      <c r="E128" t="s">
        <v>21</v>
      </c>
      <c r="F128" t="s">
        <v>16</v>
      </c>
      <c r="G128">
        <v>572170</v>
      </c>
      <c r="H128" t="s">
        <v>173</v>
      </c>
      <c r="I128" t="s">
        <v>174</v>
      </c>
      <c r="J128" t="s">
        <v>55</v>
      </c>
      <c r="K128">
        <v>3</v>
      </c>
      <c r="L128">
        <v>1</v>
      </c>
      <c r="M128">
        <v>85</v>
      </c>
      <c r="N128">
        <f>IF(Table1[[#This Row],[Employment_Status]]="Exited",1,0)</f>
        <v>1</v>
      </c>
      <c r="O128" t="str" cm="1">
        <f t="array" ref="O128">_xlfn.IFS(AND(Table1[[#This Row],[Age]]&gt;=22,Table1[[#This Row],[Age]]&lt;=35),"22-35",AND(Table1[[#This Row],[Age]]&gt;=36,Table1[[#This Row],[Age]]&lt;=45),"36-45",AND(Table1[[#This Row],[Age]]&gt;=46,Table1[[#This Row],[Age]]&lt;=55),"46-55")</f>
        <v>36-45</v>
      </c>
      <c r="P128">
        <f>IF(Table1[[#This Row],[Employment_Status]]="active",1,0)</f>
        <v>0</v>
      </c>
      <c r="Q128">
        <v>1</v>
      </c>
      <c r="R128" s="6">
        <f ca="1">YEARFRAC(Table1[[#This Row],[Hire_Date]],IF(Table1[[#This Row],[Employment_Status]]="Exited",Table1[[#This Row],[Exit_Date]],TODAY()))</f>
        <v>1.8972222222222221</v>
      </c>
      <c r="S128" t="str" cm="1">
        <f t="array" aca="1" ref="S128" ca="1">_xlfn.IFS(AND(Table1[[#This Row],[Tenure]]&gt;=0,Table1[[#This Row],[Tenure]]&lt;=1),"0-1",AND(Table1[[#This Row],[Tenure]]&gt;1,Table1[[#This Row],[Tenure]]&lt;=3),"1-3",AND(Table1[[#This Row],[Tenure]]&gt;3,Table1[[#This Row],[Tenure]]&lt;=5),"3-5",AND(Table1[[#This Row],[Tenure]]&gt;5,Table1[[#This Row],[Tenure]]&lt;=8),"5-8")</f>
        <v>1-3</v>
      </c>
      <c r="T128" t="str" cm="1">
        <f t="array" ref="T128">_xlfn.IFS(AND(Table1[[#This Row],[Salary]]&gt;=180000, Table1[[#This Row],[Salary]] &lt;=500000),"Low (180k-500k)", AND(Table1[[#This Row],[Salary]]&gt;500000, Table1[[#This Row],[Salary]]&lt;=800000), "Medium (501k-800k)", AND(Table1[[#This Row],[Salary]]&gt;800000, Table1[[#This Row],[Salary]]&lt;1200000), "High (801k - 1.2m)")</f>
        <v>Medium (501k-800k)</v>
      </c>
    </row>
    <row r="129" spans="1:20" x14ac:dyDescent="0.2">
      <c r="A129">
        <v>128</v>
      </c>
      <c r="B129" t="s">
        <v>36</v>
      </c>
      <c r="C129" t="s">
        <v>14</v>
      </c>
      <c r="D129">
        <v>23</v>
      </c>
      <c r="E129" t="s">
        <v>15</v>
      </c>
      <c r="F129" t="s">
        <v>22</v>
      </c>
      <c r="G129">
        <v>664154</v>
      </c>
      <c r="H129" t="s">
        <v>175</v>
      </c>
      <c r="J129" t="s">
        <v>18</v>
      </c>
      <c r="K129">
        <v>4</v>
      </c>
      <c r="L129">
        <v>48</v>
      </c>
      <c r="M129">
        <v>78</v>
      </c>
      <c r="N129">
        <f>IF(Table1[[#This Row],[Employment_Status]]="Exited",1,0)</f>
        <v>0</v>
      </c>
      <c r="O129" t="str" cm="1">
        <f t="array" ref="O129">_xlfn.IFS(AND(Table1[[#This Row],[Age]]&gt;=22,Table1[[#This Row],[Age]]&lt;=35),"22-35",AND(Table1[[#This Row],[Age]]&gt;=36,Table1[[#This Row],[Age]]&lt;=45),"36-45",AND(Table1[[#This Row],[Age]]&gt;=46,Table1[[#This Row],[Age]]&lt;=55),"46-55")</f>
        <v>22-35</v>
      </c>
      <c r="P129">
        <f>IF(Table1[[#This Row],[Employment_Status]]="active",1,0)</f>
        <v>1</v>
      </c>
      <c r="Q129">
        <v>1</v>
      </c>
      <c r="R129" s="6">
        <f ca="1">YEARFRAC(Table1[[#This Row],[Hire_Date]],IF(Table1[[#This Row],[Employment_Status]]="Exited",Table1[[#This Row],[Exit_Date]],TODAY()))</f>
        <v>4.083333333333333</v>
      </c>
      <c r="S129" t="str" cm="1">
        <f t="array" aca="1" ref="S129" ca="1">_xlfn.IFS(AND(Table1[[#This Row],[Tenure]]&gt;=0,Table1[[#This Row],[Tenure]]&lt;=1),"0-1",AND(Table1[[#This Row],[Tenure]]&gt;1,Table1[[#This Row],[Tenure]]&lt;=3),"1-3",AND(Table1[[#This Row],[Tenure]]&gt;3,Table1[[#This Row],[Tenure]]&lt;=5),"3-5",AND(Table1[[#This Row],[Tenure]]&gt;5,Table1[[#This Row],[Tenure]]&lt;=8),"5-8")</f>
        <v>3-5</v>
      </c>
      <c r="T129" t="str" cm="1">
        <f t="array" ref="T129">_xlfn.IFS(AND(Table1[[#This Row],[Salary]]&gt;=180000, Table1[[#This Row],[Salary]] &lt;=500000),"Low (180k-500k)", AND(Table1[[#This Row],[Salary]]&gt;500000, Table1[[#This Row],[Salary]]&lt;=800000), "Medium (501k-800k)", AND(Table1[[#This Row],[Salary]]&gt;800000, Table1[[#This Row],[Salary]]&lt;1200000), "High (801k - 1.2m)")</f>
        <v>Medium (501k-800k)</v>
      </c>
    </row>
    <row r="130" spans="1:20" x14ac:dyDescent="0.2">
      <c r="A130">
        <v>129</v>
      </c>
      <c r="B130" t="s">
        <v>26</v>
      </c>
      <c r="C130" t="s">
        <v>14</v>
      </c>
      <c r="D130">
        <v>34</v>
      </c>
      <c r="E130" t="s">
        <v>49</v>
      </c>
      <c r="F130" t="s">
        <v>22</v>
      </c>
      <c r="G130">
        <v>388779</v>
      </c>
      <c r="H130" t="s">
        <v>176</v>
      </c>
      <c r="J130" t="s">
        <v>18</v>
      </c>
      <c r="K130">
        <v>4</v>
      </c>
      <c r="L130">
        <v>37</v>
      </c>
      <c r="M130">
        <v>93</v>
      </c>
      <c r="N130">
        <f>IF(Table1[[#This Row],[Employment_Status]]="Exited",1,0)</f>
        <v>0</v>
      </c>
      <c r="O130" t="str" cm="1">
        <f t="array" ref="O130">_xlfn.IFS(AND(Table1[[#This Row],[Age]]&gt;=22,Table1[[#This Row],[Age]]&lt;=35),"22-35",AND(Table1[[#This Row],[Age]]&gt;=36,Table1[[#This Row],[Age]]&lt;=45),"36-45",AND(Table1[[#This Row],[Age]]&gt;=46,Table1[[#This Row],[Age]]&lt;=55),"46-55")</f>
        <v>22-35</v>
      </c>
      <c r="P130">
        <f>IF(Table1[[#This Row],[Employment_Status]]="active",1,0)</f>
        <v>1</v>
      </c>
      <c r="Q130">
        <v>1</v>
      </c>
      <c r="R130" s="6">
        <f ca="1">YEARFRAC(Table1[[#This Row],[Hire_Date]],IF(Table1[[#This Row],[Employment_Status]]="Exited",Table1[[#This Row],[Exit_Date]],TODAY()))</f>
        <v>3.7944444444444443</v>
      </c>
      <c r="S130" t="str" cm="1">
        <f t="array" aca="1" ref="S130" ca="1">_xlfn.IFS(AND(Table1[[#This Row],[Tenure]]&gt;=0,Table1[[#This Row],[Tenure]]&lt;=1),"0-1",AND(Table1[[#This Row],[Tenure]]&gt;1,Table1[[#This Row],[Tenure]]&lt;=3),"1-3",AND(Table1[[#This Row],[Tenure]]&gt;3,Table1[[#This Row],[Tenure]]&lt;=5),"3-5",AND(Table1[[#This Row],[Tenure]]&gt;5,Table1[[#This Row],[Tenure]]&lt;=8),"5-8")</f>
        <v>3-5</v>
      </c>
      <c r="T130" t="str" cm="1">
        <f t="array" ref="T130">_xlfn.IFS(AND(Table1[[#This Row],[Salary]]&gt;=180000, Table1[[#This Row],[Salary]] &lt;=500000),"Low (180k-500k)", AND(Table1[[#This Row],[Salary]]&gt;500000, Table1[[#This Row],[Salary]]&lt;=800000), "Medium (501k-800k)", AND(Table1[[#This Row],[Salary]]&gt;800000, Table1[[#This Row],[Salary]]&lt;1200000), "High (801k - 1.2m)")</f>
        <v>Low (180k-500k)</v>
      </c>
    </row>
    <row r="131" spans="1:20" x14ac:dyDescent="0.2">
      <c r="A131">
        <v>130</v>
      </c>
      <c r="B131" t="s">
        <v>31</v>
      </c>
      <c r="C131" t="s">
        <v>20</v>
      </c>
      <c r="D131">
        <v>25</v>
      </c>
      <c r="E131" t="s">
        <v>15</v>
      </c>
      <c r="F131" t="s">
        <v>27</v>
      </c>
      <c r="G131">
        <v>927441</v>
      </c>
      <c r="H131" t="s">
        <v>177</v>
      </c>
      <c r="J131" t="s">
        <v>18</v>
      </c>
      <c r="K131">
        <v>3</v>
      </c>
      <c r="L131">
        <v>7</v>
      </c>
      <c r="M131">
        <v>89</v>
      </c>
      <c r="N131">
        <f>IF(Table1[[#This Row],[Employment_Status]]="Exited",1,0)</f>
        <v>0</v>
      </c>
      <c r="O131" t="str" cm="1">
        <f t="array" ref="O131">_xlfn.IFS(AND(Table1[[#This Row],[Age]]&gt;=22,Table1[[#This Row],[Age]]&lt;=35),"22-35",AND(Table1[[#This Row],[Age]]&gt;=36,Table1[[#This Row],[Age]]&lt;=45),"36-45",AND(Table1[[#This Row],[Age]]&gt;=46,Table1[[#This Row],[Age]]&lt;=55),"46-55")</f>
        <v>22-35</v>
      </c>
      <c r="P131">
        <f>IF(Table1[[#This Row],[Employment_Status]]="active",1,0)</f>
        <v>1</v>
      </c>
      <c r="Q131">
        <v>1</v>
      </c>
      <c r="R131" s="6">
        <f ca="1">YEARFRAC(Table1[[#This Row],[Hire_Date]],IF(Table1[[#This Row],[Employment_Status]]="Exited",Table1[[#This Row],[Exit_Date]],TODAY()))</f>
        <v>2.625</v>
      </c>
      <c r="S131" t="str" cm="1">
        <f t="array" aca="1" ref="S131" ca="1">_xlfn.IFS(AND(Table1[[#This Row],[Tenure]]&gt;=0,Table1[[#This Row],[Tenure]]&lt;=1),"0-1",AND(Table1[[#This Row],[Tenure]]&gt;1,Table1[[#This Row],[Tenure]]&lt;=3),"1-3",AND(Table1[[#This Row],[Tenure]]&gt;3,Table1[[#This Row],[Tenure]]&lt;=5),"3-5",AND(Table1[[#This Row],[Tenure]]&gt;5,Table1[[#This Row],[Tenure]]&lt;=8),"5-8")</f>
        <v>1-3</v>
      </c>
      <c r="T131" t="str" cm="1">
        <f t="array" ref="T131">_xlfn.IFS(AND(Table1[[#This Row],[Salary]]&gt;=180000, Table1[[#This Row],[Salary]] &lt;=500000),"Low (180k-500k)", AND(Table1[[#This Row],[Salary]]&gt;500000, Table1[[#This Row],[Salary]]&lt;=800000), "Medium (501k-800k)", AND(Table1[[#This Row],[Salary]]&gt;800000, Table1[[#This Row],[Salary]]&lt;1200000), "High (801k - 1.2m)")</f>
        <v>High (801k - 1.2m)</v>
      </c>
    </row>
    <row r="132" spans="1:20" x14ac:dyDescent="0.2">
      <c r="A132">
        <v>131</v>
      </c>
      <c r="B132" t="s">
        <v>75</v>
      </c>
      <c r="C132" t="s">
        <v>20</v>
      </c>
      <c r="D132">
        <v>45</v>
      </c>
      <c r="E132" t="s">
        <v>15</v>
      </c>
      <c r="F132" t="s">
        <v>27</v>
      </c>
      <c r="G132">
        <v>1121962</v>
      </c>
      <c r="H132" t="s">
        <v>178</v>
      </c>
      <c r="J132" t="s">
        <v>18</v>
      </c>
      <c r="K132">
        <v>5</v>
      </c>
      <c r="L132">
        <v>38</v>
      </c>
      <c r="M132">
        <v>65</v>
      </c>
      <c r="N132">
        <f>IF(Table1[[#This Row],[Employment_Status]]="Exited",1,0)</f>
        <v>0</v>
      </c>
      <c r="O132" t="str" cm="1">
        <f t="array" ref="O132">_xlfn.IFS(AND(Table1[[#This Row],[Age]]&gt;=22,Table1[[#This Row],[Age]]&lt;=35),"22-35",AND(Table1[[#This Row],[Age]]&gt;=36,Table1[[#This Row],[Age]]&lt;=45),"36-45",AND(Table1[[#This Row],[Age]]&gt;=46,Table1[[#This Row],[Age]]&lt;=55),"46-55")</f>
        <v>36-45</v>
      </c>
      <c r="P132">
        <f>IF(Table1[[#This Row],[Employment_Status]]="active",1,0)</f>
        <v>1</v>
      </c>
      <c r="Q132">
        <v>1</v>
      </c>
      <c r="R132" s="6">
        <f ca="1">YEARFRAC(Table1[[#This Row],[Hire_Date]],IF(Table1[[#This Row],[Employment_Status]]="Exited",Table1[[#This Row],[Exit_Date]],TODAY()))</f>
        <v>4.8111111111111109</v>
      </c>
      <c r="S132" t="str" cm="1">
        <f t="array" aca="1" ref="S132" ca="1">_xlfn.IFS(AND(Table1[[#This Row],[Tenure]]&gt;=0,Table1[[#This Row],[Tenure]]&lt;=1),"0-1",AND(Table1[[#This Row],[Tenure]]&gt;1,Table1[[#This Row],[Tenure]]&lt;=3),"1-3",AND(Table1[[#This Row],[Tenure]]&gt;3,Table1[[#This Row],[Tenure]]&lt;=5),"3-5",AND(Table1[[#This Row],[Tenure]]&gt;5,Table1[[#This Row],[Tenure]]&lt;=8),"5-8")</f>
        <v>3-5</v>
      </c>
      <c r="T132" t="str" cm="1">
        <f t="array" ref="T132">_xlfn.IFS(AND(Table1[[#This Row],[Salary]]&gt;=180000, Table1[[#This Row],[Salary]] &lt;=500000),"Low (180k-500k)", AND(Table1[[#This Row],[Salary]]&gt;500000, Table1[[#This Row],[Salary]]&lt;=800000), "Medium (501k-800k)", AND(Table1[[#This Row],[Salary]]&gt;800000, Table1[[#This Row],[Salary]]&lt;1200000), "High (801k - 1.2m)")</f>
        <v>High (801k - 1.2m)</v>
      </c>
    </row>
    <row r="133" spans="1:20" x14ac:dyDescent="0.2">
      <c r="A133">
        <v>132</v>
      </c>
      <c r="B133" t="s">
        <v>33</v>
      </c>
      <c r="C133" t="s">
        <v>14</v>
      </c>
      <c r="D133">
        <v>36</v>
      </c>
      <c r="E133" t="s">
        <v>15</v>
      </c>
      <c r="F133" t="s">
        <v>22</v>
      </c>
      <c r="G133">
        <v>1051869</v>
      </c>
      <c r="H133" t="s">
        <v>179</v>
      </c>
      <c r="J133" t="s">
        <v>18</v>
      </c>
      <c r="K133">
        <v>1</v>
      </c>
      <c r="L133">
        <v>24</v>
      </c>
      <c r="M133">
        <v>75</v>
      </c>
      <c r="N133">
        <f>IF(Table1[[#This Row],[Employment_Status]]="Exited",1,0)</f>
        <v>0</v>
      </c>
      <c r="O133" t="str" cm="1">
        <f t="array" ref="O133">_xlfn.IFS(AND(Table1[[#This Row],[Age]]&gt;=22,Table1[[#This Row],[Age]]&lt;=35),"22-35",AND(Table1[[#This Row],[Age]]&gt;=36,Table1[[#This Row],[Age]]&lt;=45),"36-45",AND(Table1[[#This Row],[Age]]&gt;=46,Table1[[#This Row],[Age]]&lt;=55),"46-55")</f>
        <v>36-45</v>
      </c>
      <c r="P133">
        <f>IF(Table1[[#This Row],[Employment_Status]]="active",1,0)</f>
        <v>1</v>
      </c>
      <c r="Q133">
        <v>1</v>
      </c>
      <c r="R133" s="6">
        <f ca="1">YEARFRAC(Table1[[#This Row],[Hire_Date]],IF(Table1[[#This Row],[Employment_Status]]="Exited",Table1[[#This Row],[Exit_Date]],TODAY()))</f>
        <v>5.2055555555555557</v>
      </c>
      <c r="S133" t="str" cm="1">
        <f t="array" aca="1" ref="S133" ca="1">_xlfn.IFS(AND(Table1[[#This Row],[Tenure]]&gt;=0,Table1[[#This Row],[Tenure]]&lt;=1),"0-1",AND(Table1[[#This Row],[Tenure]]&gt;1,Table1[[#This Row],[Tenure]]&lt;=3),"1-3",AND(Table1[[#This Row],[Tenure]]&gt;3,Table1[[#This Row],[Tenure]]&lt;=5),"3-5",AND(Table1[[#This Row],[Tenure]]&gt;5,Table1[[#This Row],[Tenure]]&lt;=8),"5-8")</f>
        <v>5-8</v>
      </c>
      <c r="T133" t="str" cm="1">
        <f t="array" ref="T133">_xlfn.IFS(AND(Table1[[#This Row],[Salary]]&gt;=180000, Table1[[#This Row],[Salary]] &lt;=500000),"Low (180k-500k)", AND(Table1[[#This Row],[Salary]]&gt;500000, Table1[[#This Row],[Salary]]&lt;=800000), "Medium (501k-800k)", AND(Table1[[#This Row],[Salary]]&gt;800000, Table1[[#This Row],[Salary]]&lt;1200000), "High (801k - 1.2m)")</f>
        <v>High (801k - 1.2m)</v>
      </c>
    </row>
    <row r="134" spans="1:20" x14ac:dyDescent="0.2">
      <c r="A134">
        <v>133</v>
      </c>
      <c r="B134" t="s">
        <v>19</v>
      </c>
      <c r="C134" t="s">
        <v>20</v>
      </c>
      <c r="D134">
        <v>29</v>
      </c>
      <c r="E134" t="s">
        <v>15</v>
      </c>
      <c r="F134" t="s">
        <v>27</v>
      </c>
      <c r="G134">
        <v>558953</v>
      </c>
      <c r="H134" t="s">
        <v>180</v>
      </c>
      <c r="J134" t="s">
        <v>18</v>
      </c>
      <c r="K134">
        <v>2</v>
      </c>
      <c r="L134">
        <v>30</v>
      </c>
      <c r="M134">
        <v>77</v>
      </c>
      <c r="N134">
        <f>IF(Table1[[#This Row],[Employment_Status]]="Exited",1,0)</f>
        <v>0</v>
      </c>
      <c r="O134" t="str" cm="1">
        <f t="array" ref="O134">_xlfn.IFS(AND(Table1[[#This Row],[Age]]&gt;=22,Table1[[#This Row],[Age]]&lt;=35),"22-35",AND(Table1[[#This Row],[Age]]&gt;=36,Table1[[#This Row],[Age]]&lt;=45),"36-45",AND(Table1[[#This Row],[Age]]&gt;=46,Table1[[#This Row],[Age]]&lt;=55),"46-55")</f>
        <v>22-35</v>
      </c>
      <c r="P134">
        <f>IF(Table1[[#This Row],[Employment_Status]]="active",1,0)</f>
        <v>1</v>
      </c>
      <c r="Q134">
        <v>1</v>
      </c>
      <c r="R134" s="6">
        <f ca="1">YEARFRAC(Table1[[#This Row],[Hire_Date]],IF(Table1[[#This Row],[Employment_Status]]="Exited",Table1[[#This Row],[Exit_Date]],TODAY()))</f>
        <v>2.5222222222222221</v>
      </c>
      <c r="S134" t="str" cm="1">
        <f t="array" aca="1" ref="S134" ca="1">_xlfn.IFS(AND(Table1[[#This Row],[Tenure]]&gt;=0,Table1[[#This Row],[Tenure]]&lt;=1),"0-1",AND(Table1[[#This Row],[Tenure]]&gt;1,Table1[[#This Row],[Tenure]]&lt;=3),"1-3",AND(Table1[[#This Row],[Tenure]]&gt;3,Table1[[#This Row],[Tenure]]&lt;=5),"3-5",AND(Table1[[#This Row],[Tenure]]&gt;5,Table1[[#This Row],[Tenure]]&lt;=8),"5-8")</f>
        <v>1-3</v>
      </c>
      <c r="T134" t="str" cm="1">
        <f t="array" ref="T134">_xlfn.IFS(AND(Table1[[#This Row],[Salary]]&gt;=180000, Table1[[#This Row],[Salary]] &lt;=500000),"Low (180k-500k)", AND(Table1[[#This Row],[Salary]]&gt;500000, Table1[[#This Row],[Salary]]&lt;=800000), "Medium (501k-800k)", AND(Table1[[#This Row],[Salary]]&gt;800000, Table1[[#This Row],[Salary]]&lt;1200000), "High (801k - 1.2m)")</f>
        <v>Medium (501k-800k)</v>
      </c>
    </row>
    <row r="135" spans="1:20" x14ac:dyDescent="0.2">
      <c r="A135">
        <v>134</v>
      </c>
      <c r="B135" t="s">
        <v>19</v>
      </c>
      <c r="C135" t="s">
        <v>14</v>
      </c>
      <c r="D135">
        <v>36</v>
      </c>
      <c r="E135" t="s">
        <v>15</v>
      </c>
      <c r="F135" t="s">
        <v>16</v>
      </c>
      <c r="G135">
        <v>554428</v>
      </c>
      <c r="H135" t="s">
        <v>181</v>
      </c>
      <c r="I135" t="s">
        <v>182</v>
      </c>
      <c r="J135" t="s">
        <v>55</v>
      </c>
      <c r="K135">
        <v>4</v>
      </c>
      <c r="L135">
        <v>32</v>
      </c>
      <c r="M135">
        <v>70</v>
      </c>
      <c r="N135">
        <f>IF(Table1[[#This Row],[Employment_Status]]="Exited",1,0)</f>
        <v>1</v>
      </c>
      <c r="O135" t="str" cm="1">
        <f t="array" ref="O135">_xlfn.IFS(AND(Table1[[#This Row],[Age]]&gt;=22,Table1[[#This Row],[Age]]&lt;=35),"22-35",AND(Table1[[#This Row],[Age]]&gt;=36,Table1[[#This Row],[Age]]&lt;=45),"36-45",AND(Table1[[#This Row],[Age]]&gt;=46,Table1[[#This Row],[Age]]&lt;=55),"46-55")</f>
        <v>36-45</v>
      </c>
      <c r="P135">
        <f>IF(Table1[[#This Row],[Employment_Status]]="active",1,0)</f>
        <v>0</v>
      </c>
      <c r="Q135">
        <v>1</v>
      </c>
      <c r="R135" s="6">
        <f ca="1">YEARFRAC(Table1[[#This Row],[Hire_Date]],IF(Table1[[#This Row],[Employment_Status]]="Exited",Table1[[#This Row],[Exit_Date]],TODAY()))</f>
        <v>1.8388888888888888</v>
      </c>
      <c r="S135" t="str" cm="1">
        <f t="array" aca="1" ref="S135" ca="1">_xlfn.IFS(AND(Table1[[#This Row],[Tenure]]&gt;=0,Table1[[#This Row],[Tenure]]&lt;=1),"0-1",AND(Table1[[#This Row],[Tenure]]&gt;1,Table1[[#This Row],[Tenure]]&lt;=3),"1-3",AND(Table1[[#This Row],[Tenure]]&gt;3,Table1[[#This Row],[Tenure]]&lt;=5),"3-5",AND(Table1[[#This Row],[Tenure]]&gt;5,Table1[[#This Row],[Tenure]]&lt;=8),"5-8")</f>
        <v>1-3</v>
      </c>
      <c r="T135" t="str" cm="1">
        <f t="array" ref="T135">_xlfn.IFS(AND(Table1[[#This Row],[Salary]]&gt;=180000, Table1[[#This Row],[Salary]] &lt;=500000),"Low (180k-500k)", AND(Table1[[#This Row],[Salary]]&gt;500000, Table1[[#This Row],[Salary]]&lt;=800000), "Medium (501k-800k)", AND(Table1[[#This Row],[Salary]]&gt;800000, Table1[[#This Row],[Salary]]&lt;1200000), "High (801k - 1.2m)")</f>
        <v>Medium (501k-800k)</v>
      </c>
    </row>
    <row r="136" spans="1:20" x14ac:dyDescent="0.2">
      <c r="A136">
        <v>135</v>
      </c>
      <c r="B136" t="s">
        <v>19</v>
      </c>
      <c r="C136" t="s">
        <v>20</v>
      </c>
      <c r="D136">
        <v>36</v>
      </c>
      <c r="E136" t="s">
        <v>15</v>
      </c>
      <c r="F136" t="s">
        <v>16</v>
      </c>
      <c r="G136">
        <v>827157</v>
      </c>
      <c r="H136" t="s">
        <v>183</v>
      </c>
      <c r="J136" t="s">
        <v>18</v>
      </c>
      <c r="K136">
        <v>3</v>
      </c>
      <c r="L136">
        <v>22</v>
      </c>
      <c r="M136">
        <v>92</v>
      </c>
      <c r="N136">
        <f>IF(Table1[[#This Row],[Employment_Status]]="Exited",1,0)</f>
        <v>0</v>
      </c>
      <c r="O136" t="str" cm="1">
        <f t="array" ref="O136">_xlfn.IFS(AND(Table1[[#This Row],[Age]]&gt;=22,Table1[[#This Row],[Age]]&lt;=35),"22-35",AND(Table1[[#This Row],[Age]]&gt;=36,Table1[[#This Row],[Age]]&lt;=45),"36-45",AND(Table1[[#This Row],[Age]]&gt;=46,Table1[[#This Row],[Age]]&lt;=55),"46-55")</f>
        <v>36-45</v>
      </c>
      <c r="P136">
        <f>IF(Table1[[#This Row],[Employment_Status]]="active",1,0)</f>
        <v>1</v>
      </c>
      <c r="Q136">
        <v>1</v>
      </c>
      <c r="R136" s="6">
        <f ca="1">YEARFRAC(Table1[[#This Row],[Hire_Date]],IF(Table1[[#This Row],[Employment_Status]]="Exited",Table1[[#This Row],[Exit_Date]],TODAY()))</f>
        <v>5.7527777777777782</v>
      </c>
      <c r="S136" t="str" cm="1">
        <f t="array" aca="1" ref="S136" ca="1">_xlfn.IFS(AND(Table1[[#This Row],[Tenure]]&gt;=0,Table1[[#This Row],[Tenure]]&lt;=1),"0-1",AND(Table1[[#This Row],[Tenure]]&gt;1,Table1[[#This Row],[Tenure]]&lt;=3),"1-3",AND(Table1[[#This Row],[Tenure]]&gt;3,Table1[[#This Row],[Tenure]]&lt;=5),"3-5",AND(Table1[[#This Row],[Tenure]]&gt;5,Table1[[#This Row],[Tenure]]&lt;=8),"5-8")</f>
        <v>5-8</v>
      </c>
      <c r="T136" t="str" cm="1">
        <f t="array" ref="T136">_xlfn.IFS(AND(Table1[[#This Row],[Salary]]&gt;=180000, Table1[[#This Row],[Salary]] &lt;=500000),"Low (180k-500k)", AND(Table1[[#This Row],[Salary]]&gt;500000, Table1[[#This Row],[Salary]]&lt;=800000), "Medium (501k-800k)", AND(Table1[[#This Row],[Salary]]&gt;800000, Table1[[#This Row],[Salary]]&lt;1200000), "High (801k - 1.2m)")</f>
        <v>High (801k - 1.2m)</v>
      </c>
    </row>
    <row r="137" spans="1:20" x14ac:dyDescent="0.2">
      <c r="A137">
        <v>136</v>
      </c>
      <c r="B137" t="s">
        <v>47</v>
      </c>
      <c r="C137" t="s">
        <v>20</v>
      </c>
      <c r="D137">
        <v>51</v>
      </c>
      <c r="E137" t="s">
        <v>15</v>
      </c>
      <c r="F137" t="s">
        <v>27</v>
      </c>
      <c r="G137">
        <v>731682</v>
      </c>
      <c r="H137" t="s">
        <v>184</v>
      </c>
      <c r="J137" t="s">
        <v>18</v>
      </c>
      <c r="K137">
        <v>4</v>
      </c>
      <c r="L137">
        <v>45</v>
      </c>
      <c r="M137">
        <v>90</v>
      </c>
      <c r="N137">
        <f>IF(Table1[[#This Row],[Employment_Status]]="Exited",1,0)</f>
        <v>0</v>
      </c>
      <c r="O137" t="str" cm="1">
        <f t="array" ref="O137">_xlfn.IFS(AND(Table1[[#This Row],[Age]]&gt;=22,Table1[[#This Row],[Age]]&lt;=35),"22-35",AND(Table1[[#This Row],[Age]]&gt;=36,Table1[[#This Row],[Age]]&lt;=45),"36-45",AND(Table1[[#This Row],[Age]]&gt;=46,Table1[[#This Row],[Age]]&lt;=55),"46-55")</f>
        <v>46-55</v>
      </c>
      <c r="P137">
        <f>IF(Table1[[#This Row],[Employment_Status]]="active",1,0)</f>
        <v>1</v>
      </c>
      <c r="Q137">
        <v>1</v>
      </c>
      <c r="R137" s="6">
        <f ca="1">YEARFRAC(Table1[[#This Row],[Hire_Date]],IF(Table1[[#This Row],[Employment_Status]]="Exited",Table1[[#This Row],[Exit_Date]],TODAY()))</f>
        <v>4.8166666666666664</v>
      </c>
      <c r="S137" t="str" cm="1">
        <f t="array" aca="1" ref="S137" ca="1">_xlfn.IFS(AND(Table1[[#This Row],[Tenure]]&gt;=0,Table1[[#This Row],[Tenure]]&lt;=1),"0-1",AND(Table1[[#This Row],[Tenure]]&gt;1,Table1[[#This Row],[Tenure]]&lt;=3),"1-3",AND(Table1[[#This Row],[Tenure]]&gt;3,Table1[[#This Row],[Tenure]]&lt;=5),"3-5",AND(Table1[[#This Row],[Tenure]]&gt;5,Table1[[#This Row],[Tenure]]&lt;=8),"5-8")</f>
        <v>3-5</v>
      </c>
      <c r="T137" t="str" cm="1">
        <f t="array" ref="T137">_xlfn.IFS(AND(Table1[[#This Row],[Salary]]&gt;=180000, Table1[[#This Row],[Salary]] &lt;=500000),"Low (180k-500k)", AND(Table1[[#This Row],[Salary]]&gt;500000, Table1[[#This Row],[Salary]]&lt;=800000), "Medium (501k-800k)", AND(Table1[[#This Row],[Salary]]&gt;800000, Table1[[#This Row],[Salary]]&lt;1200000), "High (801k - 1.2m)")</f>
        <v>Medium (501k-800k)</v>
      </c>
    </row>
    <row r="138" spans="1:20" x14ac:dyDescent="0.2">
      <c r="A138">
        <v>137</v>
      </c>
      <c r="B138" t="s">
        <v>29</v>
      </c>
      <c r="C138" t="s">
        <v>14</v>
      </c>
      <c r="D138">
        <v>54</v>
      </c>
      <c r="E138" t="s">
        <v>21</v>
      </c>
      <c r="F138" t="s">
        <v>27</v>
      </c>
      <c r="G138">
        <v>585704</v>
      </c>
      <c r="H138" t="s">
        <v>185</v>
      </c>
      <c r="J138" t="s">
        <v>18</v>
      </c>
      <c r="K138">
        <v>3</v>
      </c>
      <c r="L138">
        <v>11</v>
      </c>
      <c r="M138">
        <v>80</v>
      </c>
      <c r="N138">
        <f>IF(Table1[[#This Row],[Employment_Status]]="Exited",1,0)</f>
        <v>0</v>
      </c>
      <c r="O138" t="str" cm="1">
        <f t="array" ref="O138">_xlfn.IFS(AND(Table1[[#This Row],[Age]]&gt;=22,Table1[[#This Row],[Age]]&lt;=35),"22-35",AND(Table1[[#This Row],[Age]]&gt;=36,Table1[[#This Row],[Age]]&lt;=45),"36-45",AND(Table1[[#This Row],[Age]]&gt;=46,Table1[[#This Row],[Age]]&lt;=55),"46-55")</f>
        <v>46-55</v>
      </c>
      <c r="P138">
        <f>IF(Table1[[#This Row],[Employment_Status]]="active",1,0)</f>
        <v>1</v>
      </c>
      <c r="Q138">
        <v>1</v>
      </c>
      <c r="R138" s="6">
        <f ca="1">YEARFRAC(Table1[[#This Row],[Hire_Date]],IF(Table1[[#This Row],[Employment_Status]]="Exited",Table1[[#This Row],[Exit_Date]],TODAY()))</f>
        <v>6.0166666666666666</v>
      </c>
      <c r="S138" t="str" cm="1">
        <f t="array" aca="1" ref="S138" ca="1">_xlfn.IFS(AND(Table1[[#This Row],[Tenure]]&gt;=0,Table1[[#This Row],[Tenure]]&lt;=1),"0-1",AND(Table1[[#This Row],[Tenure]]&gt;1,Table1[[#This Row],[Tenure]]&lt;=3),"1-3",AND(Table1[[#This Row],[Tenure]]&gt;3,Table1[[#This Row],[Tenure]]&lt;=5),"3-5",AND(Table1[[#This Row],[Tenure]]&gt;5,Table1[[#This Row],[Tenure]]&lt;=8),"5-8")</f>
        <v>5-8</v>
      </c>
      <c r="T138" t="str" cm="1">
        <f t="array" ref="T138">_xlfn.IFS(AND(Table1[[#This Row],[Salary]]&gt;=180000, Table1[[#This Row],[Salary]] &lt;=500000),"Low (180k-500k)", AND(Table1[[#This Row],[Salary]]&gt;500000, Table1[[#This Row],[Salary]]&lt;=800000), "Medium (501k-800k)", AND(Table1[[#This Row],[Salary]]&gt;800000, Table1[[#This Row],[Salary]]&lt;1200000), "High (801k - 1.2m)")</f>
        <v>Medium (501k-800k)</v>
      </c>
    </row>
    <row r="139" spans="1:20" x14ac:dyDescent="0.2">
      <c r="A139">
        <v>138</v>
      </c>
      <c r="B139" t="s">
        <v>24</v>
      </c>
      <c r="C139" t="s">
        <v>14</v>
      </c>
      <c r="D139">
        <v>36</v>
      </c>
      <c r="E139" t="s">
        <v>15</v>
      </c>
      <c r="F139" t="s">
        <v>22</v>
      </c>
      <c r="G139">
        <v>833457</v>
      </c>
      <c r="H139" t="s">
        <v>186</v>
      </c>
      <c r="I139" t="s">
        <v>187</v>
      </c>
      <c r="J139" t="s">
        <v>55</v>
      </c>
      <c r="K139">
        <v>4</v>
      </c>
      <c r="L139">
        <v>47</v>
      </c>
      <c r="M139">
        <v>91</v>
      </c>
      <c r="N139">
        <f>IF(Table1[[#This Row],[Employment_Status]]="Exited",1,0)</f>
        <v>1</v>
      </c>
      <c r="O139" t="str" cm="1">
        <f t="array" ref="O139">_xlfn.IFS(AND(Table1[[#This Row],[Age]]&gt;=22,Table1[[#This Row],[Age]]&lt;=35),"22-35",AND(Table1[[#This Row],[Age]]&gt;=36,Table1[[#This Row],[Age]]&lt;=45),"36-45",AND(Table1[[#This Row],[Age]]&gt;=46,Table1[[#This Row],[Age]]&lt;=55),"46-55")</f>
        <v>36-45</v>
      </c>
      <c r="P139">
        <f>IF(Table1[[#This Row],[Employment_Status]]="active",1,0)</f>
        <v>0</v>
      </c>
      <c r="Q139">
        <v>1</v>
      </c>
      <c r="R139" s="6">
        <f ca="1">YEARFRAC(Table1[[#This Row],[Hire_Date]],IF(Table1[[#This Row],[Employment_Status]]="Exited",Table1[[#This Row],[Exit_Date]],TODAY()))</f>
        <v>0.80555555555555558</v>
      </c>
      <c r="S139" t="str" cm="1">
        <f t="array" aca="1" ref="S139" ca="1">_xlfn.IFS(AND(Table1[[#This Row],[Tenure]]&gt;=0,Table1[[#This Row],[Tenure]]&lt;=1),"0-1",AND(Table1[[#This Row],[Tenure]]&gt;1,Table1[[#This Row],[Tenure]]&lt;=3),"1-3",AND(Table1[[#This Row],[Tenure]]&gt;3,Table1[[#This Row],[Tenure]]&lt;=5),"3-5",AND(Table1[[#This Row],[Tenure]]&gt;5,Table1[[#This Row],[Tenure]]&lt;=8),"5-8")</f>
        <v>0-1</v>
      </c>
      <c r="T139" t="str" cm="1">
        <f t="array" ref="T139">_xlfn.IFS(AND(Table1[[#This Row],[Salary]]&gt;=180000, Table1[[#This Row],[Salary]] &lt;=500000),"Low (180k-500k)", AND(Table1[[#This Row],[Salary]]&gt;500000, Table1[[#This Row],[Salary]]&lt;=800000), "Medium (501k-800k)", AND(Table1[[#This Row],[Salary]]&gt;800000, Table1[[#This Row],[Salary]]&lt;1200000), "High (801k - 1.2m)")</f>
        <v>High (801k - 1.2m)</v>
      </c>
    </row>
    <row r="140" spans="1:20" x14ac:dyDescent="0.2">
      <c r="A140">
        <v>139</v>
      </c>
      <c r="B140" t="s">
        <v>36</v>
      </c>
      <c r="C140" t="s">
        <v>20</v>
      </c>
      <c r="D140">
        <v>49</v>
      </c>
      <c r="E140" t="s">
        <v>21</v>
      </c>
      <c r="F140" t="s">
        <v>16</v>
      </c>
      <c r="G140">
        <v>604434</v>
      </c>
      <c r="H140" t="s">
        <v>188</v>
      </c>
      <c r="J140" t="s">
        <v>18</v>
      </c>
      <c r="K140">
        <v>4</v>
      </c>
      <c r="L140">
        <v>47</v>
      </c>
      <c r="M140">
        <v>78</v>
      </c>
      <c r="N140">
        <f>IF(Table1[[#This Row],[Employment_Status]]="Exited",1,0)</f>
        <v>0</v>
      </c>
      <c r="O140" t="str" cm="1">
        <f t="array" ref="O140">_xlfn.IFS(AND(Table1[[#This Row],[Age]]&gt;=22,Table1[[#This Row],[Age]]&lt;=35),"22-35",AND(Table1[[#This Row],[Age]]&gt;=36,Table1[[#This Row],[Age]]&lt;=45),"36-45",AND(Table1[[#This Row],[Age]]&gt;=46,Table1[[#This Row],[Age]]&lt;=55),"46-55")</f>
        <v>46-55</v>
      </c>
      <c r="P140">
        <f>IF(Table1[[#This Row],[Employment_Status]]="active",1,0)</f>
        <v>1</v>
      </c>
      <c r="Q140">
        <v>1</v>
      </c>
      <c r="R140" s="6">
        <f ca="1">YEARFRAC(Table1[[#This Row],[Hire_Date]],IF(Table1[[#This Row],[Employment_Status]]="Exited",Table1[[#This Row],[Exit_Date]],TODAY()))</f>
        <v>4.9916666666666663</v>
      </c>
      <c r="S140" t="str" cm="1">
        <f t="array" aca="1" ref="S140" ca="1">_xlfn.IFS(AND(Table1[[#This Row],[Tenure]]&gt;=0,Table1[[#This Row],[Tenure]]&lt;=1),"0-1",AND(Table1[[#This Row],[Tenure]]&gt;1,Table1[[#This Row],[Tenure]]&lt;=3),"1-3",AND(Table1[[#This Row],[Tenure]]&gt;3,Table1[[#This Row],[Tenure]]&lt;=5),"3-5",AND(Table1[[#This Row],[Tenure]]&gt;5,Table1[[#This Row],[Tenure]]&lt;=8),"5-8")</f>
        <v>3-5</v>
      </c>
      <c r="T140" t="str" cm="1">
        <f t="array" ref="T140">_xlfn.IFS(AND(Table1[[#This Row],[Salary]]&gt;=180000, Table1[[#This Row],[Salary]] &lt;=500000),"Low (180k-500k)", AND(Table1[[#This Row],[Salary]]&gt;500000, Table1[[#This Row],[Salary]]&lt;=800000), "Medium (501k-800k)", AND(Table1[[#This Row],[Salary]]&gt;800000, Table1[[#This Row],[Salary]]&lt;1200000), "High (801k - 1.2m)")</f>
        <v>Medium (501k-800k)</v>
      </c>
    </row>
    <row r="141" spans="1:20" x14ac:dyDescent="0.2">
      <c r="A141">
        <v>140</v>
      </c>
      <c r="B141" t="s">
        <v>58</v>
      </c>
      <c r="C141" t="s">
        <v>20</v>
      </c>
      <c r="D141">
        <v>49</v>
      </c>
      <c r="E141" t="s">
        <v>15</v>
      </c>
      <c r="F141" t="s">
        <v>22</v>
      </c>
      <c r="G141">
        <v>1089573</v>
      </c>
      <c r="H141" t="s">
        <v>189</v>
      </c>
      <c r="J141" t="s">
        <v>18</v>
      </c>
      <c r="K141">
        <v>5</v>
      </c>
      <c r="L141">
        <v>38</v>
      </c>
      <c r="M141">
        <v>90</v>
      </c>
      <c r="N141">
        <f>IF(Table1[[#This Row],[Employment_Status]]="Exited",1,0)</f>
        <v>0</v>
      </c>
      <c r="O141" t="str" cm="1">
        <f t="array" ref="O141">_xlfn.IFS(AND(Table1[[#This Row],[Age]]&gt;=22,Table1[[#This Row],[Age]]&lt;=35),"22-35",AND(Table1[[#This Row],[Age]]&gt;=36,Table1[[#This Row],[Age]]&lt;=45),"36-45",AND(Table1[[#This Row],[Age]]&gt;=46,Table1[[#This Row],[Age]]&lt;=55),"46-55")</f>
        <v>46-55</v>
      </c>
      <c r="P141">
        <f>IF(Table1[[#This Row],[Employment_Status]]="active",1,0)</f>
        <v>1</v>
      </c>
      <c r="Q141">
        <v>1</v>
      </c>
      <c r="R141" s="6">
        <f ca="1">YEARFRAC(Table1[[#This Row],[Hire_Date]],IF(Table1[[#This Row],[Employment_Status]]="Exited",Table1[[#This Row],[Exit_Date]],TODAY()))</f>
        <v>5.5</v>
      </c>
      <c r="S141" t="str" cm="1">
        <f t="array" aca="1" ref="S141" ca="1">_xlfn.IFS(AND(Table1[[#This Row],[Tenure]]&gt;=0,Table1[[#This Row],[Tenure]]&lt;=1),"0-1",AND(Table1[[#This Row],[Tenure]]&gt;1,Table1[[#This Row],[Tenure]]&lt;=3),"1-3",AND(Table1[[#This Row],[Tenure]]&gt;3,Table1[[#This Row],[Tenure]]&lt;=5),"3-5",AND(Table1[[#This Row],[Tenure]]&gt;5,Table1[[#This Row],[Tenure]]&lt;=8),"5-8")</f>
        <v>5-8</v>
      </c>
      <c r="T141" t="str" cm="1">
        <f t="array" ref="T141">_xlfn.IFS(AND(Table1[[#This Row],[Salary]]&gt;=180000, Table1[[#This Row],[Salary]] &lt;=500000),"Low (180k-500k)", AND(Table1[[#This Row],[Salary]]&gt;500000, Table1[[#This Row],[Salary]]&lt;=800000), "Medium (501k-800k)", AND(Table1[[#This Row],[Salary]]&gt;800000, Table1[[#This Row],[Salary]]&lt;1200000), "High (801k - 1.2m)")</f>
        <v>High (801k - 1.2m)</v>
      </c>
    </row>
    <row r="142" spans="1:20" x14ac:dyDescent="0.2">
      <c r="A142">
        <v>141</v>
      </c>
      <c r="B142" t="s">
        <v>58</v>
      </c>
      <c r="C142" t="s">
        <v>20</v>
      </c>
      <c r="D142">
        <v>33</v>
      </c>
      <c r="E142" t="s">
        <v>15</v>
      </c>
      <c r="F142" t="s">
        <v>16</v>
      </c>
      <c r="G142">
        <v>654112</v>
      </c>
      <c r="H142" t="s">
        <v>190</v>
      </c>
      <c r="J142" t="s">
        <v>18</v>
      </c>
      <c r="K142">
        <v>4</v>
      </c>
      <c r="L142">
        <v>16</v>
      </c>
      <c r="M142">
        <v>90</v>
      </c>
      <c r="N142">
        <f>IF(Table1[[#This Row],[Employment_Status]]="Exited",1,0)</f>
        <v>0</v>
      </c>
      <c r="O142" t="str" cm="1">
        <f t="array" ref="O142">_xlfn.IFS(AND(Table1[[#This Row],[Age]]&gt;=22,Table1[[#This Row],[Age]]&lt;=35),"22-35",AND(Table1[[#This Row],[Age]]&gt;=36,Table1[[#This Row],[Age]]&lt;=45),"36-45",AND(Table1[[#This Row],[Age]]&gt;=46,Table1[[#This Row],[Age]]&lt;=55),"46-55")</f>
        <v>22-35</v>
      </c>
      <c r="P142">
        <f>IF(Table1[[#This Row],[Employment_Status]]="active",1,0)</f>
        <v>1</v>
      </c>
      <c r="Q142">
        <v>1</v>
      </c>
      <c r="R142" s="6">
        <f ca="1">YEARFRAC(Table1[[#This Row],[Hire_Date]],IF(Table1[[#This Row],[Employment_Status]]="Exited",Table1[[#This Row],[Exit_Date]],TODAY()))</f>
        <v>5.291666666666667</v>
      </c>
      <c r="S142" t="str" cm="1">
        <f t="array" aca="1" ref="S142" ca="1">_xlfn.IFS(AND(Table1[[#This Row],[Tenure]]&gt;=0,Table1[[#This Row],[Tenure]]&lt;=1),"0-1",AND(Table1[[#This Row],[Tenure]]&gt;1,Table1[[#This Row],[Tenure]]&lt;=3),"1-3",AND(Table1[[#This Row],[Tenure]]&gt;3,Table1[[#This Row],[Tenure]]&lt;=5),"3-5",AND(Table1[[#This Row],[Tenure]]&gt;5,Table1[[#This Row],[Tenure]]&lt;=8),"5-8")</f>
        <v>5-8</v>
      </c>
      <c r="T142" t="str" cm="1">
        <f t="array" ref="T142">_xlfn.IFS(AND(Table1[[#This Row],[Salary]]&gt;=180000, Table1[[#This Row],[Salary]] &lt;=500000),"Low (180k-500k)", AND(Table1[[#This Row],[Salary]]&gt;500000, Table1[[#This Row],[Salary]]&lt;=800000), "Medium (501k-800k)", AND(Table1[[#This Row],[Salary]]&gt;800000, Table1[[#This Row],[Salary]]&lt;1200000), "High (801k - 1.2m)")</f>
        <v>Medium (501k-800k)</v>
      </c>
    </row>
    <row r="143" spans="1:20" x14ac:dyDescent="0.2">
      <c r="A143">
        <v>142</v>
      </c>
      <c r="B143" t="s">
        <v>13</v>
      </c>
      <c r="C143" t="s">
        <v>14</v>
      </c>
      <c r="D143">
        <v>46</v>
      </c>
      <c r="E143" t="s">
        <v>45</v>
      </c>
      <c r="F143" t="s">
        <v>34</v>
      </c>
      <c r="G143">
        <v>431325</v>
      </c>
      <c r="H143" t="s">
        <v>191</v>
      </c>
      <c r="I143" t="s">
        <v>192</v>
      </c>
      <c r="J143" t="s">
        <v>55</v>
      </c>
      <c r="K143">
        <v>3</v>
      </c>
      <c r="L143">
        <v>17</v>
      </c>
      <c r="M143">
        <v>67</v>
      </c>
      <c r="N143">
        <f>IF(Table1[[#This Row],[Employment_Status]]="Exited",1,0)</f>
        <v>1</v>
      </c>
      <c r="O143" t="str" cm="1">
        <f t="array" ref="O143">_xlfn.IFS(AND(Table1[[#This Row],[Age]]&gt;=22,Table1[[#This Row],[Age]]&lt;=35),"22-35",AND(Table1[[#This Row],[Age]]&gt;=36,Table1[[#This Row],[Age]]&lt;=45),"36-45",AND(Table1[[#This Row],[Age]]&gt;=46,Table1[[#This Row],[Age]]&lt;=55),"46-55")</f>
        <v>46-55</v>
      </c>
      <c r="P143">
        <f>IF(Table1[[#This Row],[Employment_Status]]="active",1,0)</f>
        <v>0</v>
      </c>
      <c r="Q143">
        <v>1</v>
      </c>
      <c r="R143" s="6">
        <f ca="1">YEARFRAC(Table1[[#This Row],[Hire_Date]],IF(Table1[[#This Row],[Employment_Status]]="Exited",Table1[[#This Row],[Exit_Date]],TODAY()))</f>
        <v>1.5638888888888889</v>
      </c>
      <c r="S143" t="str" cm="1">
        <f t="array" aca="1" ref="S143" ca="1">_xlfn.IFS(AND(Table1[[#This Row],[Tenure]]&gt;=0,Table1[[#This Row],[Tenure]]&lt;=1),"0-1",AND(Table1[[#This Row],[Tenure]]&gt;1,Table1[[#This Row],[Tenure]]&lt;=3),"1-3",AND(Table1[[#This Row],[Tenure]]&gt;3,Table1[[#This Row],[Tenure]]&lt;=5),"3-5",AND(Table1[[#This Row],[Tenure]]&gt;5,Table1[[#This Row],[Tenure]]&lt;=8),"5-8")</f>
        <v>1-3</v>
      </c>
      <c r="T143" t="str" cm="1">
        <f t="array" ref="T143">_xlfn.IFS(AND(Table1[[#This Row],[Salary]]&gt;=180000, Table1[[#This Row],[Salary]] &lt;=500000),"Low (180k-500k)", AND(Table1[[#This Row],[Salary]]&gt;500000, Table1[[#This Row],[Salary]]&lt;=800000), "Medium (501k-800k)", AND(Table1[[#This Row],[Salary]]&gt;800000, Table1[[#This Row],[Salary]]&lt;1200000), "High (801k - 1.2m)")</f>
        <v>Low (180k-500k)</v>
      </c>
    </row>
    <row r="144" spans="1:20" x14ac:dyDescent="0.2">
      <c r="A144">
        <v>143</v>
      </c>
      <c r="B144" t="s">
        <v>29</v>
      </c>
      <c r="C144" t="s">
        <v>20</v>
      </c>
      <c r="D144">
        <v>40</v>
      </c>
      <c r="E144" t="s">
        <v>49</v>
      </c>
      <c r="F144" t="s">
        <v>27</v>
      </c>
      <c r="G144">
        <v>431340</v>
      </c>
      <c r="H144" t="s">
        <v>193</v>
      </c>
      <c r="J144" t="s">
        <v>18</v>
      </c>
      <c r="K144">
        <v>3</v>
      </c>
      <c r="L144">
        <v>6</v>
      </c>
      <c r="M144">
        <v>91</v>
      </c>
      <c r="N144">
        <f>IF(Table1[[#This Row],[Employment_Status]]="Exited",1,0)</f>
        <v>0</v>
      </c>
      <c r="O144" t="str" cm="1">
        <f t="array" ref="O144">_xlfn.IFS(AND(Table1[[#This Row],[Age]]&gt;=22,Table1[[#This Row],[Age]]&lt;=35),"22-35",AND(Table1[[#This Row],[Age]]&gt;=36,Table1[[#This Row],[Age]]&lt;=45),"36-45",AND(Table1[[#This Row],[Age]]&gt;=46,Table1[[#This Row],[Age]]&lt;=55),"46-55")</f>
        <v>36-45</v>
      </c>
      <c r="P144">
        <f>IF(Table1[[#This Row],[Employment_Status]]="active",1,0)</f>
        <v>1</v>
      </c>
      <c r="Q144">
        <v>1</v>
      </c>
      <c r="R144" s="6">
        <f ca="1">YEARFRAC(Table1[[#This Row],[Hire_Date]],IF(Table1[[#This Row],[Employment_Status]]="Exited",Table1[[#This Row],[Exit_Date]],TODAY()))</f>
        <v>4.5166666666666666</v>
      </c>
      <c r="S144" t="str" cm="1">
        <f t="array" aca="1" ref="S144" ca="1">_xlfn.IFS(AND(Table1[[#This Row],[Tenure]]&gt;=0,Table1[[#This Row],[Tenure]]&lt;=1),"0-1",AND(Table1[[#This Row],[Tenure]]&gt;1,Table1[[#This Row],[Tenure]]&lt;=3),"1-3",AND(Table1[[#This Row],[Tenure]]&gt;3,Table1[[#This Row],[Tenure]]&lt;=5),"3-5",AND(Table1[[#This Row],[Tenure]]&gt;5,Table1[[#This Row],[Tenure]]&lt;=8),"5-8")</f>
        <v>3-5</v>
      </c>
      <c r="T144" t="str" cm="1">
        <f t="array" ref="T144">_xlfn.IFS(AND(Table1[[#This Row],[Salary]]&gt;=180000, Table1[[#This Row],[Salary]] &lt;=500000),"Low (180k-500k)", AND(Table1[[#This Row],[Salary]]&gt;500000, Table1[[#This Row],[Salary]]&lt;=800000), "Medium (501k-800k)", AND(Table1[[#This Row],[Salary]]&gt;800000, Table1[[#This Row],[Salary]]&lt;1200000), "High (801k - 1.2m)")</f>
        <v>Low (180k-500k)</v>
      </c>
    </row>
    <row r="145" spans="1:20" x14ac:dyDescent="0.2">
      <c r="A145">
        <v>144</v>
      </c>
      <c r="B145" t="s">
        <v>29</v>
      </c>
      <c r="C145" t="s">
        <v>20</v>
      </c>
      <c r="D145">
        <v>43</v>
      </c>
      <c r="E145" t="s">
        <v>15</v>
      </c>
      <c r="F145" t="s">
        <v>27</v>
      </c>
      <c r="G145">
        <v>1055715</v>
      </c>
      <c r="H145" t="s">
        <v>194</v>
      </c>
      <c r="I145" t="s">
        <v>195</v>
      </c>
      <c r="J145" t="s">
        <v>55</v>
      </c>
      <c r="K145">
        <v>1</v>
      </c>
      <c r="L145">
        <v>1</v>
      </c>
      <c r="M145">
        <v>65</v>
      </c>
      <c r="N145">
        <f>IF(Table1[[#This Row],[Employment_Status]]="Exited",1,0)</f>
        <v>1</v>
      </c>
      <c r="O145" t="str" cm="1">
        <f t="array" ref="O145">_xlfn.IFS(AND(Table1[[#This Row],[Age]]&gt;=22,Table1[[#This Row],[Age]]&lt;=35),"22-35",AND(Table1[[#This Row],[Age]]&gt;=36,Table1[[#This Row],[Age]]&lt;=45),"36-45",AND(Table1[[#This Row],[Age]]&gt;=46,Table1[[#This Row],[Age]]&lt;=55),"46-55")</f>
        <v>36-45</v>
      </c>
      <c r="P145">
        <f>IF(Table1[[#This Row],[Employment_Status]]="active",1,0)</f>
        <v>0</v>
      </c>
      <c r="Q145">
        <v>1</v>
      </c>
      <c r="R145" s="6">
        <f ca="1">YEARFRAC(Table1[[#This Row],[Hire_Date]],IF(Table1[[#This Row],[Employment_Status]]="Exited",Table1[[#This Row],[Exit_Date]],TODAY()))</f>
        <v>1.85</v>
      </c>
      <c r="S145" t="str" cm="1">
        <f t="array" aca="1" ref="S145" ca="1">_xlfn.IFS(AND(Table1[[#This Row],[Tenure]]&gt;=0,Table1[[#This Row],[Tenure]]&lt;=1),"0-1",AND(Table1[[#This Row],[Tenure]]&gt;1,Table1[[#This Row],[Tenure]]&lt;=3),"1-3",AND(Table1[[#This Row],[Tenure]]&gt;3,Table1[[#This Row],[Tenure]]&lt;=5),"3-5",AND(Table1[[#This Row],[Tenure]]&gt;5,Table1[[#This Row],[Tenure]]&lt;=8),"5-8")</f>
        <v>1-3</v>
      </c>
      <c r="T145" t="str" cm="1">
        <f t="array" ref="T145">_xlfn.IFS(AND(Table1[[#This Row],[Salary]]&gt;=180000, Table1[[#This Row],[Salary]] &lt;=500000),"Low (180k-500k)", AND(Table1[[#This Row],[Salary]]&gt;500000, Table1[[#This Row],[Salary]]&lt;=800000), "Medium (501k-800k)", AND(Table1[[#This Row],[Salary]]&gt;800000, Table1[[#This Row],[Salary]]&lt;1200000), "High (801k - 1.2m)")</f>
        <v>High (801k - 1.2m)</v>
      </c>
    </row>
    <row r="146" spans="1:20" x14ac:dyDescent="0.2">
      <c r="A146">
        <v>145</v>
      </c>
      <c r="B146" t="s">
        <v>26</v>
      </c>
      <c r="C146" t="s">
        <v>20</v>
      </c>
      <c r="D146">
        <v>41</v>
      </c>
      <c r="E146" t="s">
        <v>61</v>
      </c>
      <c r="F146" t="s">
        <v>34</v>
      </c>
      <c r="G146">
        <v>273442</v>
      </c>
      <c r="H146" t="s">
        <v>196</v>
      </c>
      <c r="J146" t="s">
        <v>18</v>
      </c>
      <c r="K146">
        <v>4</v>
      </c>
      <c r="L146">
        <v>46</v>
      </c>
      <c r="M146">
        <v>86</v>
      </c>
      <c r="N146">
        <f>IF(Table1[[#This Row],[Employment_Status]]="Exited",1,0)</f>
        <v>0</v>
      </c>
      <c r="O146" t="str" cm="1">
        <f t="array" ref="O146">_xlfn.IFS(AND(Table1[[#This Row],[Age]]&gt;=22,Table1[[#This Row],[Age]]&lt;=35),"22-35",AND(Table1[[#This Row],[Age]]&gt;=36,Table1[[#This Row],[Age]]&lt;=45),"36-45",AND(Table1[[#This Row],[Age]]&gt;=46,Table1[[#This Row],[Age]]&lt;=55),"46-55")</f>
        <v>36-45</v>
      </c>
      <c r="P146">
        <f>IF(Table1[[#This Row],[Employment_Status]]="active",1,0)</f>
        <v>1</v>
      </c>
      <c r="Q146">
        <v>1</v>
      </c>
      <c r="R146" s="6">
        <f ca="1">YEARFRAC(Table1[[#This Row],[Hire_Date]],IF(Table1[[#This Row],[Employment_Status]]="Exited",Table1[[#This Row],[Exit_Date]],TODAY()))</f>
        <v>4.9055555555555559</v>
      </c>
      <c r="S146" t="str" cm="1">
        <f t="array" aca="1" ref="S146" ca="1">_xlfn.IFS(AND(Table1[[#This Row],[Tenure]]&gt;=0,Table1[[#This Row],[Tenure]]&lt;=1),"0-1",AND(Table1[[#This Row],[Tenure]]&gt;1,Table1[[#This Row],[Tenure]]&lt;=3),"1-3",AND(Table1[[#This Row],[Tenure]]&gt;3,Table1[[#This Row],[Tenure]]&lt;=5),"3-5",AND(Table1[[#This Row],[Tenure]]&gt;5,Table1[[#This Row],[Tenure]]&lt;=8),"5-8")</f>
        <v>3-5</v>
      </c>
      <c r="T146" t="str" cm="1">
        <f t="array" ref="T146">_xlfn.IFS(AND(Table1[[#This Row],[Salary]]&gt;=180000, Table1[[#This Row],[Salary]] &lt;=500000),"Low (180k-500k)", AND(Table1[[#This Row],[Salary]]&gt;500000, Table1[[#This Row],[Salary]]&lt;=800000), "Medium (501k-800k)", AND(Table1[[#This Row],[Salary]]&gt;800000, Table1[[#This Row],[Salary]]&lt;1200000), "High (801k - 1.2m)")</f>
        <v>Low (180k-500k)</v>
      </c>
    </row>
    <row r="147" spans="1:20" x14ac:dyDescent="0.2">
      <c r="A147">
        <v>146</v>
      </c>
      <c r="B147" t="s">
        <v>36</v>
      </c>
      <c r="C147" t="s">
        <v>14</v>
      </c>
      <c r="D147">
        <v>55</v>
      </c>
      <c r="E147" t="s">
        <v>61</v>
      </c>
      <c r="F147" t="s">
        <v>16</v>
      </c>
      <c r="G147">
        <v>230124</v>
      </c>
      <c r="H147" t="s">
        <v>197</v>
      </c>
      <c r="J147" t="s">
        <v>18</v>
      </c>
      <c r="K147">
        <v>3</v>
      </c>
      <c r="L147">
        <v>36</v>
      </c>
      <c r="M147">
        <v>81</v>
      </c>
      <c r="N147">
        <f>IF(Table1[[#This Row],[Employment_Status]]="Exited",1,0)</f>
        <v>0</v>
      </c>
      <c r="O147" t="str" cm="1">
        <f t="array" ref="O147">_xlfn.IFS(AND(Table1[[#This Row],[Age]]&gt;=22,Table1[[#This Row],[Age]]&lt;=35),"22-35",AND(Table1[[#This Row],[Age]]&gt;=36,Table1[[#This Row],[Age]]&lt;=45),"36-45",AND(Table1[[#This Row],[Age]]&gt;=46,Table1[[#This Row],[Age]]&lt;=55),"46-55")</f>
        <v>46-55</v>
      </c>
      <c r="P147">
        <f>IF(Table1[[#This Row],[Employment_Status]]="active",1,0)</f>
        <v>1</v>
      </c>
      <c r="Q147">
        <v>1</v>
      </c>
      <c r="R147" s="6">
        <f ca="1">YEARFRAC(Table1[[#This Row],[Hire_Date]],IF(Table1[[#This Row],[Employment_Status]]="Exited",Table1[[#This Row],[Exit_Date]],TODAY()))</f>
        <v>6.4388888888888891</v>
      </c>
      <c r="S147" t="str" cm="1">
        <f t="array" aca="1" ref="S147" ca="1">_xlfn.IFS(AND(Table1[[#This Row],[Tenure]]&gt;=0,Table1[[#This Row],[Tenure]]&lt;=1),"0-1",AND(Table1[[#This Row],[Tenure]]&gt;1,Table1[[#This Row],[Tenure]]&lt;=3),"1-3",AND(Table1[[#This Row],[Tenure]]&gt;3,Table1[[#This Row],[Tenure]]&lt;=5),"3-5",AND(Table1[[#This Row],[Tenure]]&gt;5,Table1[[#This Row],[Tenure]]&lt;=8),"5-8")</f>
        <v>5-8</v>
      </c>
      <c r="T147" t="str" cm="1">
        <f t="array" ref="T147">_xlfn.IFS(AND(Table1[[#This Row],[Salary]]&gt;=180000, Table1[[#This Row],[Salary]] &lt;=500000),"Low (180k-500k)", AND(Table1[[#This Row],[Salary]]&gt;500000, Table1[[#This Row],[Salary]]&lt;=800000), "Medium (501k-800k)", AND(Table1[[#This Row],[Salary]]&gt;800000, Table1[[#This Row],[Salary]]&lt;1200000), "High (801k - 1.2m)")</f>
        <v>Low (180k-500k)</v>
      </c>
    </row>
    <row r="148" spans="1:20" x14ac:dyDescent="0.2">
      <c r="A148">
        <v>147</v>
      </c>
      <c r="B148" t="s">
        <v>33</v>
      </c>
      <c r="C148" t="s">
        <v>14</v>
      </c>
      <c r="D148">
        <v>42</v>
      </c>
      <c r="E148" t="s">
        <v>21</v>
      </c>
      <c r="F148" t="s">
        <v>16</v>
      </c>
      <c r="G148">
        <v>423206</v>
      </c>
      <c r="H148" t="s">
        <v>198</v>
      </c>
      <c r="J148" t="s">
        <v>18</v>
      </c>
      <c r="K148">
        <v>4</v>
      </c>
      <c r="L148">
        <v>38</v>
      </c>
      <c r="M148">
        <v>69</v>
      </c>
      <c r="N148">
        <f>IF(Table1[[#This Row],[Employment_Status]]="Exited",1,0)</f>
        <v>0</v>
      </c>
      <c r="O148" t="str" cm="1">
        <f t="array" ref="O148">_xlfn.IFS(AND(Table1[[#This Row],[Age]]&gt;=22,Table1[[#This Row],[Age]]&lt;=35),"22-35",AND(Table1[[#This Row],[Age]]&gt;=36,Table1[[#This Row],[Age]]&lt;=45),"36-45",AND(Table1[[#This Row],[Age]]&gt;=46,Table1[[#This Row],[Age]]&lt;=55),"46-55")</f>
        <v>36-45</v>
      </c>
      <c r="P148">
        <f>IF(Table1[[#This Row],[Employment_Status]]="active",1,0)</f>
        <v>1</v>
      </c>
      <c r="Q148">
        <v>1</v>
      </c>
      <c r="R148" s="6">
        <f ca="1">YEARFRAC(Table1[[#This Row],[Hire_Date]],IF(Table1[[#This Row],[Employment_Status]]="Exited",Table1[[#This Row],[Exit_Date]],TODAY()))</f>
        <v>6.3083333333333336</v>
      </c>
      <c r="S148" t="str" cm="1">
        <f t="array" aca="1" ref="S148" ca="1">_xlfn.IFS(AND(Table1[[#This Row],[Tenure]]&gt;=0,Table1[[#This Row],[Tenure]]&lt;=1),"0-1",AND(Table1[[#This Row],[Tenure]]&gt;1,Table1[[#This Row],[Tenure]]&lt;=3),"1-3",AND(Table1[[#This Row],[Tenure]]&gt;3,Table1[[#This Row],[Tenure]]&lt;=5),"3-5",AND(Table1[[#This Row],[Tenure]]&gt;5,Table1[[#This Row],[Tenure]]&lt;=8),"5-8")</f>
        <v>5-8</v>
      </c>
      <c r="T148" t="str" cm="1">
        <f t="array" ref="T148">_xlfn.IFS(AND(Table1[[#This Row],[Salary]]&gt;=180000, Table1[[#This Row],[Salary]] &lt;=500000),"Low (180k-500k)", AND(Table1[[#This Row],[Salary]]&gt;500000, Table1[[#This Row],[Salary]]&lt;=800000), "Medium (501k-800k)", AND(Table1[[#This Row],[Salary]]&gt;800000, Table1[[#This Row],[Salary]]&lt;1200000), "High (801k - 1.2m)")</f>
        <v>Low (180k-500k)</v>
      </c>
    </row>
    <row r="149" spans="1:20" x14ac:dyDescent="0.2">
      <c r="A149">
        <v>148</v>
      </c>
      <c r="B149" t="s">
        <v>40</v>
      </c>
      <c r="C149" t="s">
        <v>14</v>
      </c>
      <c r="D149">
        <v>29</v>
      </c>
      <c r="E149" t="s">
        <v>21</v>
      </c>
      <c r="F149" t="s">
        <v>34</v>
      </c>
      <c r="G149">
        <v>539679</v>
      </c>
      <c r="H149" t="s">
        <v>199</v>
      </c>
      <c r="J149" t="s">
        <v>18</v>
      </c>
      <c r="K149">
        <v>3</v>
      </c>
      <c r="L149">
        <v>16</v>
      </c>
      <c r="M149">
        <v>84</v>
      </c>
      <c r="N149">
        <f>IF(Table1[[#This Row],[Employment_Status]]="Exited",1,0)</f>
        <v>0</v>
      </c>
      <c r="O149" t="str" cm="1">
        <f t="array" ref="O149">_xlfn.IFS(AND(Table1[[#This Row],[Age]]&gt;=22,Table1[[#This Row],[Age]]&lt;=35),"22-35",AND(Table1[[#This Row],[Age]]&gt;=36,Table1[[#This Row],[Age]]&lt;=45),"36-45",AND(Table1[[#This Row],[Age]]&gt;=46,Table1[[#This Row],[Age]]&lt;=55),"46-55")</f>
        <v>22-35</v>
      </c>
      <c r="P149">
        <f>IF(Table1[[#This Row],[Employment_Status]]="active",1,0)</f>
        <v>1</v>
      </c>
      <c r="Q149">
        <v>1</v>
      </c>
      <c r="R149" s="6">
        <f ca="1">YEARFRAC(Table1[[#This Row],[Hire_Date]],IF(Table1[[#This Row],[Employment_Status]]="Exited",Table1[[#This Row],[Exit_Date]],TODAY()))</f>
        <v>2.9666666666666668</v>
      </c>
      <c r="S149" t="str" cm="1">
        <f t="array" aca="1" ref="S149" ca="1">_xlfn.IFS(AND(Table1[[#This Row],[Tenure]]&gt;=0,Table1[[#This Row],[Tenure]]&lt;=1),"0-1",AND(Table1[[#This Row],[Tenure]]&gt;1,Table1[[#This Row],[Tenure]]&lt;=3),"1-3",AND(Table1[[#This Row],[Tenure]]&gt;3,Table1[[#This Row],[Tenure]]&lt;=5),"3-5",AND(Table1[[#This Row],[Tenure]]&gt;5,Table1[[#This Row],[Tenure]]&lt;=8),"5-8")</f>
        <v>1-3</v>
      </c>
      <c r="T149" t="str" cm="1">
        <f t="array" ref="T149">_xlfn.IFS(AND(Table1[[#This Row],[Salary]]&gt;=180000, Table1[[#This Row],[Salary]] &lt;=500000),"Low (180k-500k)", AND(Table1[[#This Row],[Salary]]&gt;500000, Table1[[#This Row],[Salary]]&lt;=800000), "Medium (501k-800k)", AND(Table1[[#This Row],[Salary]]&gt;800000, Table1[[#This Row],[Salary]]&lt;1200000), "High (801k - 1.2m)")</f>
        <v>Medium (501k-800k)</v>
      </c>
    </row>
    <row r="150" spans="1:20" x14ac:dyDescent="0.2">
      <c r="A150">
        <v>149</v>
      </c>
      <c r="B150" t="s">
        <v>31</v>
      </c>
      <c r="C150" t="s">
        <v>14</v>
      </c>
      <c r="D150">
        <v>53</v>
      </c>
      <c r="E150" t="s">
        <v>45</v>
      </c>
      <c r="F150" t="s">
        <v>16</v>
      </c>
      <c r="G150">
        <v>237918</v>
      </c>
      <c r="H150" t="s">
        <v>200</v>
      </c>
      <c r="I150" t="s">
        <v>201</v>
      </c>
      <c r="J150" t="s">
        <v>55</v>
      </c>
      <c r="K150">
        <v>4</v>
      </c>
      <c r="L150">
        <v>8</v>
      </c>
      <c r="M150">
        <v>96</v>
      </c>
      <c r="N150">
        <f>IF(Table1[[#This Row],[Employment_Status]]="Exited",1,0)</f>
        <v>1</v>
      </c>
      <c r="O150" t="str" cm="1">
        <f t="array" ref="O150">_xlfn.IFS(AND(Table1[[#This Row],[Age]]&gt;=22,Table1[[#This Row],[Age]]&lt;=35),"22-35",AND(Table1[[#This Row],[Age]]&gt;=36,Table1[[#This Row],[Age]]&lt;=45),"36-45",AND(Table1[[#This Row],[Age]]&gt;=46,Table1[[#This Row],[Age]]&lt;=55),"46-55")</f>
        <v>46-55</v>
      </c>
      <c r="P150">
        <f>IF(Table1[[#This Row],[Employment_Status]]="active",1,0)</f>
        <v>0</v>
      </c>
      <c r="Q150">
        <v>1</v>
      </c>
      <c r="R150" s="6">
        <f ca="1">YEARFRAC(Table1[[#This Row],[Hire_Date]],IF(Table1[[#This Row],[Employment_Status]]="Exited",Table1[[#This Row],[Exit_Date]],TODAY()))</f>
        <v>1.2722222222222221</v>
      </c>
      <c r="S150" t="str" cm="1">
        <f t="array" aca="1" ref="S150" ca="1">_xlfn.IFS(AND(Table1[[#This Row],[Tenure]]&gt;=0,Table1[[#This Row],[Tenure]]&lt;=1),"0-1",AND(Table1[[#This Row],[Tenure]]&gt;1,Table1[[#This Row],[Tenure]]&lt;=3),"1-3",AND(Table1[[#This Row],[Tenure]]&gt;3,Table1[[#This Row],[Tenure]]&lt;=5),"3-5",AND(Table1[[#This Row],[Tenure]]&gt;5,Table1[[#This Row],[Tenure]]&lt;=8),"5-8")</f>
        <v>1-3</v>
      </c>
      <c r="T150" t="str" cm="1">
        <f t="array" ref="T150">_xlfn.IFS(AND(Table1[[#This Row],[Salary]]&gt;=180000, Table1[[#This Row],[Salary]] &lt;=500000),"Low (180k-500k)", AND(Table1[[#This Row],[Salary]]&gt;500000, Table1[[#This Row],[Salary]]&lt;=800000), "Medium (501k-800k)", AND(Table1[[#This Row],[Salary]]&gt;800000, Table1[[#This Row],[Salary]]&lt;1200000), "High (801k - 1.2m)")</f>
        <v>Low (180k-500k)</v>
      </c>
    </row>
    <row r="151" spans="1:20" x14ac:dyDescent="0.2">
      <c r="A151">
        <v>150</v>
      </c>
      <c r="B151" t="s">
        <v>24</v>
      </c>
      <c r="C151" t="s">
        <v>20</v>
      </c>
      <c r="D151">
        <v>45</v>
      </c>
      <c r="E151" t="s">
        <v>15</v>
      </c>
      <c r="F151" t="s">
        <v>27</v>
      </c>
      <c r="G151">
        <v>596996</v>
      </c>
      <c r="H151" t="s">
        <v>202</v>
      </c>
      <c r="J151" t="s">
        <v>18</v>
      </c>
      <c r="K151">
        <v>5</v>
      </c>
      <c r="L151">
        <v>39</v>
      </c>
      <c r="M151">
        <v>97</v>
      </c>
      <c r="N151">
        <f>IF(Table1[[#This Row],[Employment_Status]]="Exited",1,0)</f>
        <v>0</v>
      </c>
      <c r="O151" t="str" cm="1">
        <f t="array" ref="O151">_xlfn.IFS(AND(Table1[[#This Row],[Age]]&gt;=22,Table1[[#This Row],[Age]]&lt;=35),"22-35",AND(Table1[[#This Row],[Age]]&gt;=36,Table1[[#This Row],[Age]]&lt;=45),"36-45",AND(Table1[[#This Row],[Age]]&gt;=46,Table1[[#This Row],[Age]]&lt;=55),"46-55")</f>
        <v>36-45</v>
      </c>
      <c r="P151">
        <f>IF(Table1[[#This Row],[Employment_Status]]="active",1,0)</f>
        <v>1</v>
      </c>
      <c r="Q151">
        <v>1</v>
      </c>
      <c r="R151" s="6">
        <f ca="1">YEARFRAC(Table1[[#This Row],[Hire_Date]],IF(Table1[[#This Row],[Employment_Status]]="Exited",Table1[[#This Row],[Exit_Date]],TODAY()))</f>
        <v>5.177777777777778</v>
      </c>
      <c r="S151" t="str" cm="1">
        <f t="array" aca="1" ref="S151" ca="1">_xlfn.IFS(AND(Table1[[#This Row],[Tenure]]&gt;=0,Table1[[#This Row],[Tenure]]&lt;=1),"0-1",AND(Table1[[#This Row],[Tenure]]&gt;1,Table1[[#This Row],[Tenure]]&lt;=3),"1-3",AND(Table1[[#This Row],[Tenure]]&gt;3,Table1[[#This Row],[Tenure]]&lt;=5),"3-5",AND(Table1[[#This Row],[Tenure]]&gt;5,Table1[[#This Row],[Tenure]]&lt;=8),"5-8")</f>
        <v>5-8</v>
      </c>
      <c r="T151" t="str" cm="1">
        <f t="array" ref="T151">_xlfn.IFS(AND(Table1[[#This Row],[Salary]]&gt;=180000, Table1[[#This Row],[Salary]] &lt;=500000),"Low (180k-500k)", AND(Table1[[#This Row],[Salary]]&gt;500000, Table1[[#This Row],[Salary]]&lt;=800000), "Medium (501k-800k)", AND(Table1[[#This Row],[Salary]]&gt;800000, Table1[[#This Row],[Salary]]&lt;1200000), "High (801k - 1.2m)")</f>
        <v>Medium (501k-800k)</v>
      </c>
    </row>
    <row r="152" spans="1:20" x14ac:dyDescent="0.2">
      <c r="A152">
        <v>151</v>
      </c>
      <c r="B152" t="s">
        <v>47</v>
      </c>
      <c r="C152" t="s">
        <v>14</v>
      </c>
      <c r="D152">
        <v>27</v>
      </c>
      <c r="E152" t="s">
        <v>21</v>
      </c>
      <c r="F152" t="s">
        <v>22</v>
      </c>
      <c r="G152">
        <v>655623</v>
      </c>
      <c r="H152" t="s">
        <v>203</v>
      </c>
      <c r="I152" t="s">
        <v>204</v>
      </c>
      <c r="J152" t="s">
        <v>55</v>
      </c>
      <c r="K152">
        <v>4</v>
      </c>
      <c r="L152">
        <v>34</v>
      </c>
      <c r="M152">
        <v>100</v>
      </c>
      <c r="N152">
        <f>IF(Table1[[#This Row],[Employment_Status]]="Exited",1,0)</f>
        <v>1</v>
      </c>
      <c r="O152" t="str" cm="1">
        <f t="array" ref="O152">_xlfn.IFS(AND(Table1[[#This Row],[Age]]&gt;=22,Table1[[#This Row],[Age]]&lt;=35),"22-35",AND(Table1[[#This Row],[Age]]&gt;=36,Table1[[#This Row],[Age]]&lt;=45),"36-45",AND(Table1[[#This Row],[Age]]&gt;=46,Table1[[#This Row],[Age]]&lt;=55),"46-55")</f>
        <v>22-35</v>
      </c>
      <c r="P152">
        <f>IF(Table1[[#This Row],[Employment_Status]]="active",1,0)</f>
        <v>0</v>
      </c>
      <c r="Q152">
        <v>1</v>
      </c>
      <c r="R152" s="6">
        <f ca="1">YEARFRAC(Table1[[#This Row],[Hire_Date]],IF(Table1[[#This Row],[Employment_Status]]="Exited",Table1[[#This Row],[Exit_Date]],TODAY()))</f>
        <v>3.1</v>
      </c>
      <c r="S152" t="str" cm="1">
        <f t="array" aca="1" ref="S152" ca="1">_xlfn.IFS(AND(Table1[[#This Row],[Tenure]]&gt;=0,Table1[[#This Row],[Tenure]]&lt;=1),"0-1",AND(Table1[[#This Row],[Tenure]]&gt;1,Table1[[#This Row],[Tenure]]&lt;=3),"1-3",AND(Table1[[#This Row],[Tenure]]&gt;3,Table1[[#This Row],[Tenure]]&lt;=5),"3-5",AND(Table1[[#This Row],[Tenure]]&gt;5,Table1[[#This Row],[Tenure]]&lt;=8),"5-8")</f>
        <v>3-5</v>
      </c>
      <c r="T152" t="str" cm="1">
        <f t="array" ref="T152">_xlfn.IFS(AND(Table1[[#This Row],[Salary]]&gt;=180000, Table1[[#This Row],[Salary]] &lt;=500000),"Low (180k-500k)", AND(Table1[[#This Row],[Salary]]&gt;500000, Table1[[#This Row],[Salary]]&lt;=800000), "Medium (501k-800k)", AND(Table1[[#This Row],[Salary]]&gt;800000, Table1[[#This Row],[Salary]]&lt;1200000), "High (801k - 1.2m)")</f>
        <v>Medium (501k-800k)</v>
      </c>
    </row>
    <row r="153" spans="1:20" x14ac:dyDescent="0.2">
      <c r="A153">
        <v>152</v>
      </c>
      <c r="B153" t="s">
        <v>13</v>
      </c>
      <c r="C153" t="s">
        <v>20</v>
      </c>
      <c r="D153">
        <v>36</v>
      </c>
      <c r="E153" t="s">
        <v>21</v>
      </c>
      <c r="F153" t="s">
        <v>16</v>
      </c>
      <c r="G153">
        <v>422112</v>
      </c>
      <c r="H153" t="s">
        <v>120</v>
      </c>
      <c r="I153" t="s">
        <v>205</v>
      </c>
      <c r="J153" t="s">
        <v>55</v>
      </c>
      <c r="K153">
        <v>4</v>
      </c>
      <c r="L153">
        <v>30</v>
      </c>
      <c r="M153">
        <v>97</v>
      </c>
      <c r="N153">
        <f>IF(Table1[[#This Row],[Employment_Status]]="Exited",1,0)</f>
        <v>1</v>
      </c>
      <c r="O153" t="str" cm="1">
        <f t="array" ref="O153">_xlfn.IFS(AND(Table1[[#This Row],[Age]]&gt;=22,Table1[[#This Row],[Age]]&lt;=35),"22-35",AND(Table1[[#This Row],[Age]]&gt;=36,Table1[[#This Row],[Age]]&lt;=45),"36-45",AND(Table1[[#This Row],[Age]]&gt;=46,Table1[[#This Row],[Age]]&lt;=55),"46-55")</f>
        <v>36-45</v>
      </c>
      <c r="P153">
        <f>IF(Table1[[#This Row],[Employment_Status]]="active",1,0)</f>
        <v>0</v>
      </c>
      <c r="Q153">
        <v>1</v>
      </c>
      <c r="R153" s="6">
        <f ca="1">YEARFRAC(Table1[[#This Row],[Hire_Date]],IF(Table1[[#This Row],[Employment_Status]]="Exited",Table1[[#This Row],[Exit_Date]],TODAY()))</f>
        <v>1.3861111111111111</v>
      </c>
      <c r="S153" t="str" cm="1">
        <f t="array" aca="1" ref="S153" ca="1">_xlfn.IFS(AND(Table1[[#This Row],[Tenure]]&gt;=0,Table1[[#This Row],[Tenure]]&lt;=1),"0-1",AND(Table1[[#This Row],[Tenure]]&gt;1,Table1[[#This Row],[Tenure]]&lt;=3),"1-3",AND(Table1[[#This Row],[Tenure]]&gt;3,Table1[[#This Row],[Tenure]]&lt;=5),"3-5",AND(Table1[[#This Row],[Tenure]]&gt;5,Table1[[#This Row],[Tenure]]&lt;=8),"5-8")</f>
        <v>1-3</v>
      </c>
      <c r="T153" t="str" cm="1">
        <f t="array" ref="T153">_xlfn.IFS(AND(Table1[[#This Row],[Salary]]&gt;=180000, Table1[[#This Row],[Salary]] &lt;=500000),"Low (180k-500k)", AND(Table1[[#This Row],[Salary]]&gt;500000, Table1[[#This Row],[Salary]]&lt;=800000), "Medium (501k-800k)", AND(Table1[[#This Row],[Salary]]&gt;800000, Table1[[#This Row],[Salary]]&lt;1200000), "High (801k - 1.2m)")</f>
        <v>Low (180k-500k)</v>
      </c>
    </row>
    <row r="154" spans="1:20" x14ac:dyDescent="0.2">
      <c r="A154">
        <v>153</v>
      </c>
      <c r="B154" t="s">
        <v>26</v>
      </c>
      <c r="C154" t="s">
        <v>20</v>
      </c>
      <c r="D154">
        <v>24</v>
      </c>
      <c r="E154" t="s">
        <v>21</v>
      </c>
      <c r="F154" t="s">
        <v>22</v>
      </c>
      <c r="G154">
        <v>513646</v>
      </c>
      <c r="H154" t="s">
        <v>206</v>
      </c>
      <c r="I154" t="s">
        <v>207</v>
      </c>
      <c r="J154" t="s">
        <v>55</v>
      </c>
      <c r="K154">
        <v>2</v>
      </c>
      <c r="L154">
        <v>19</v>
      </c>
      <c r="M154">
        <v>81</v>
      </c>
      <c r="N154">
        <f>IF(Table1[[#This Row],[Employment_Status]]="Exited",1,0)</f>
        <v>1</v>
      </c>
      <c r="O154" t="str" cm="1">
        <f t="array" ref="O154">_xlfn.IFS(AND(Table1[[#This Row],[Age]]&gt;=22,Table1[[#This Row],[Age]]&lt;=35),"22-35",AND(Table1[[#This Row],[Age]]&gt;=36,Table1[[#This Row],[Age]]&lt;=45),"36-45",AND(Table1[[#This Row],[Age]]&gt;=46,Table1[[#This Row],[Age]]&lt;=55),"46-55")</f>
        <v>22-35</v>
      </c>
      <c r="P154">
        <f>IF(Table1[[#This Row],[Employment_Status]]="active",1,0)</f>
        <v>0</v>
      </c>
      <c r="Q154">
        <v>1</v>
      </c>
      <c r="R154" s="6">
        <f ca="1">YEARFRAC(Table1[[#This Row],[Hire_Date]],IF(Table1[[#This Row],[Employment_Status]]="Exited",Table1[[#This Row],[Exit_Date]],TODAY()))</f>
        <v>2.5333333333333332</v>
      </c>
      <c r="S154" t="str" cm="1">
        <f t="array" aca="1" ref="S154" ca="1">_xlfn.IFS(AND(Table1[[#This Row],[Tenure]]&gt;=0,Table1[[#This Row],[Tenure]]&lt;=1),"0-1",AND(Table1[[#This Row],[Tenure]]&gt;1,Table1[[#This Row],[Tenure]]&lt;=3),"1-3",AND(Table1[[#This Row],[Tenure]]&gt;3,Table1[[#This Row],[Tenure]]&lt;=5),"3-5",AND(Table1[[#This Row],[Tenure]]&gt;5,Table1[[#This Row],[Tenure]]&lt;=8),"5-8")</f>
        <v>1-3</v>
      </c>
      <c r="T154" t="str" cm="1">
        <f t="array" ref="T154">_xlfn.IFS(AND(Table1[[#This Row],[Salary]]&gt;=180000, Table1[[#This Row],[Salary]] &lt;=500000),"Low (180k-500k)", AND(Table1[[#This Row],[Salary]]&gt;500000, Table1[[#This Row],[Salary]]&lt;=800000), "Medium (501k-800k)", AND(Table1[[#This Row],[Salary]]&gt;800000, Table1[[#This Row],[Salary]]&lt;1200000), "High (801k - 1.2m)")</f>
        <v>Medium (501k-800k)</v>
      </c>
    </row>
    <row r="155" spans="1:20" x14ac:dyDescent="0.2">
      <c r="A155">
        <v>154</v>
      </c>
      <c r="B155" t="s">
        <v>36</v>
      </c>
      <c r="C155" t="s">
        <v>14</v>
      </c>
      <c r="D155">
        <v>30</v>
      </c>
      <c r="E155" t="s">
        <v>49</v>
      </c>
      <c r="F155" t="s">
        <v>16</v>
      </c>
      <c r="G155">
        <v>325462</v>
      </c>
      <c r="H155" t="s">
        <v>208</v>
      </c>
      <c r="J155" t="s">
        <v>18</v>
      </c>
      <c r="K155">
        <v>1</v>
      </c>
      <c r="L155">
        <v>4</v>
      </c>
      <c r="M155">
        <v>96</v>
      </c>
      <c r="N155">
        <f>IF(Table1[[#This Row],[Employment_Status]]="Exited",1,0)</f>
        <v>0</v>
      </c>
      <c r="O155" t="str" cm="1">
        <f t="array" ref="O155">_xlfn.IFS(AND(Table1[[#This Row],[Age]]&gt;=22,Table1[[#This Row],[Age]]&lt;=35),"22-35",AND(Table1[[#This Row],[Age]]&gt;=36,Table1[[#This Row],[Age]]&lt;=45),"36-45",AND(Table1[[#This Row],[Age]]&gt;=46,Table1[[#This Row],[Age]]&lt;=55),"46-55")</f>
        <v>22-35</v>
      </c>
      <c r="P155">
        <f>IF(Table1[[#This Row],[Employment_Status]]="active",1,0)</f>
        <v>1</v>
      </c>
      <c r="Q155">
        <v>1</v>
      </c>
      <c r="R155" s="6">
        <f ca="1">YEARFRAC(Table1[[#This Row],[Hire_Date]],IF(Table1[[#This Row],[Employment_Status]]="Exited",Table1[[#This Row],[Exit_Date]],TODAY()))</f>
        <v>5.4138888888888888</v>
      </c>
      <c r="S155" t="str" cm="1">
        <f t="array" aca="1" ref="S155" ca="1">_xlfn.IFS(AND(Table1[[#This Row],[Tenure]]&gt;=0,Table1[[#This Row],[Tenure]]&lt;=1),"0-1",AND(Table1[[#This Row],[Tenure]]&gt;1,Table1[[#This Row],[Tenure]]&lt;=3),"1-3",AND(Table1[[#This Row],[Tenure]]&gt;3,Table1[[#This Row],[Tenure]]&lt;=5),"3-5",AND(Table1[[#This Row],[Tenure]]&gt;5,Table1[[#This Row],[Tenure]]&lt;=8),"5-8")</f>
        <v>5-8</v>
      </c>
      <c r="T155" t="str" cm="1">
        <f t="array" ref="T155">_xlfn.IFS(AND(Table1[[#This Row],[Salary]]&gt;=180000, Table1[[#This Row],[Salary]] &lt;=500000),"Low (180k-500k)", AND(Table1[[#This Row],[Salary]]&gt;500000, Table1[[#This Row],[Salary]]&lt;=800000), "Medium (501k-800k)", AND(Table1[[#This Row],[Salary]]&gt;800000, Table1[[#This Row],[Salary]]&lt;1200000), "High (801k - 1.2m)")</f>
        <v>Low (180k-500k)</v>
      </c>
    </row>
    <row r="156" spans="1:20" x14ac:dyDescent="0.2">
      <c r="A156">
        <v>155</v>
      </c>
      <c r="B156" t="s">
        <v>29</v>
      </c>
      <c r="C156" t="s">
        <v>14</v>
      </c>
      <c r="D156">
        <v>46</v>
      </c>
      <c r="E156" t="s">
        <v>15</v>
      </c>
      <c r="F156" t="s">
        <v>16</v>
      </c>
      <c r="G156">
        <v>744260</v>
      </c>
      <c r="H156" t="s">
        <v>209</v>
      </c>
      <c r="J156" t="s">
        <v>18</v>
      </c>
      <c r="K156">
        <v>4</v>
      </c>
      <c r="L156">
        <v>9</v>
      </c>
      <c r="M156">
        <v>96</v>
      </c>
      <c r="N156">
        <f>IF(Table1[[#This Row],[Employment_Status]]="Exited",1,0)</f>
        <v>0</v>
      </c>
      <c r="O156" t="str" cm="1">
        <f t="array" ref="O156">_xlfn.IFS(AND(Table1[[#This Row],[Age]]&gt;=22,Table1[[#This Row],[Age]]&lt;=35),"22-35",AND(Table1[[#This Row],[Age]]&gt;=36,Table1[[#This Row],[Age]]&lt;=45),"36-45",AND(Table1[[#This Row],[Age]]&gt;=46,Table1[[#This Row],[Age]]&lt;=55),"46-55")</f>
        <v>46-55</v>
      </c>
      <c r="P156">
        <f>IF(Table1[[#This Row],[Employment_Status]]="active",1,0)</f>
        <v>1</v>
      </c>
      <c r="Q156">
        <v>1</v>
      </c>
      <c r="R156" s="6">
        <f ca="1">YEARFRAC(Table1[[#This Row],[Hire_Date]],IF(Table1[[#This Row],[Employment_Status]]="Exited",Table1[[#This Row],[Exit_Date]],TODAY()))</f>
        <v>6.1444444444444448</v>
      </c>
      <c r="S156" t="str" cm="1">
        <f t="array" aca="1" ref="S156" ca="1">_xlfn.IFS(AND(Table1[[#This Row],[Tenure]]&gt;=0,Table1[[#This Row],[Tenure]]&lt;=1),"0-1",AND(Table1[[#This Row],[Tenure]]&gt;1,Table1[[#This Row],[Tenure]]&lt;=3),"1-3",AND(Table1[[#This Row],[Tenure]]&gt;3,Table1[[#This Row],[Tenure]]&lt;=5),"3-5",AND(Table1[[#This Row],[Tenure]]&gt;5,Table1[[#This Row],[Tenure]]&lt;=8),"5-8")</f>
        <v>5-8</v>
      </c>
      <c r="T156" t="str" cm="1">
        <f t="array" ref="T156">_xlfn.IFS(AND(Table1[[#This Row],[Salary]]&gt;=180000, Table1[[#This Row],[Salary]] &lt;=500000),"Low (180k-500k)", AND(Table1[[#This Row],[Salary]]&gt;500000, Table1[[#This Row],[Salary]]&lt;=800000), "Medium (501k-800k)", AND(Table1[[#This Row],[Salary]]&gt;800000, Table1[[#This Row],[Salary]]&lt;1200000), "High (801k - 1.2m)")</f>
        <v>Medium (501k-800k)</v>
      </c>
    </row>
    <row r="157" spans="1:20" x14ac:dyDescent="0.2">
      <c r="A157">
        <v>156</v>
      </c>
      <c r="B157" t="s">
        <v>33</v>
      </c>
      <c r="C157" t="s">
        <v>14</v>
      </c>
      <c r="D157">
        <v>44</v>
      </c>
      <c r="E157" t="s">
        <v>21</v>
      </c>
      <c r="F157" t="s">
        <v>16</v>
      </c>
      <c r="G157">
        <v>338184</v>
      </c>
      <c r="H157" t="s">
        <v>210</v>
      </c>
      <c r="J157" t="s">
        <v>18</v>
      </c>
      <c r="K157">
        <v>4</v>
      </c>
      <c r="L157">
        <v>28</v>
      </c>
      <c r="M157">
        <v>67</v>
      </c>
      <c r="N157">
        <f>IF(Table1[[#This Row],[Employment_Status]]="Exited",1,0)</f>
        <v>0</v>
      </c>
      <c r="O157" t="str" cm="1">
        <f t="array" ref="O157">_xlfn.IFS(AND(Table1[[#This Row],[Age]]&gt;=22,Table1[[#This Row],[Age]]&lt;=35),"22-35",AND(Table1[[#This Row],[Age]]&gt;=36,Table1[[#This Row],[Age]]&lt;=45),"36-45",AND(Table1[[#This Row],[Age]]&gt;=46,Table1[[#This Row],[Age]]&lt;=55),"46-55")</f>
        <v>36-45</v>
      </c>
      <c r="P157">
        <f>IF(Table1[[#This Row],[Employment_Status]]="active",1,0)</f>
        <v>1</v>
      </c>
      <c r="Q157">
        <v>1</v>
      </c>
      <c r="R157" s="6">
        <f ca="1">YEARFRAC(Table1[[#This Row],[Hire_Date]],IF(Table1[[#This Row],[Employment_Status]]="Exited",Table1[[#This Row],[Exit_Date]],TODAY()))</f>
        <v>5.8861111111111111</v>
      </c>
      <c r="S157" t="str" cm="1">
        <f t="array" aca="1" ref="S157" ca="1">_xlfn.IFS(AND(Table1[[#This Row],[Tenure]]&gt;=0,Table1[[#This Row],[Tenure]]&lt;=1),"0-1",AND(Table1[[#This Row],[Tenure]]&gt;1,Table1[[#This Row],[Tenure]]&lt;=3),"1-3",AND(Table1[[#This Row],[Tenure]]&gt;3,Table1[[#This Row],[Tenure]]&lt;=5),"3-5",AND(Table1[[#This Row],[Tenure]]&gt;5,Table1[[#This Row],[Tenure]]&lt;=8),"5-8")</f>
        <v>5-8</v>
      </c>
      <c r="T157" t="str" cm="1">
        <f t="array" ref="T157">_xlfn.IFS(AND(Table1[[#This Row],[Salary]]&gt;=180000, Table1[[#This Row],[Salary]] &lt;=500000),"Low (180k-500k)", AND(Table1[[#This Row],[Salary]]&gt;500000, Table1[[#This Row],[Salary]]&lt;=800000), "Medium (501k-800k)", AND(Table1[[#This Row],[Salary]]&gt;800000, Table1[[#This Row],[Salary]]&lt;1200000), "High (801k - 1.2m)")</f>
        <v>Low (180k-500k)</v>
      </c>
    </row>
    <row r="158" spans="1:20" x14ac:dyDescent="0.2">
      <c r="A158">
        <v>157</v>
      </c>
      <c r="B158" t="s">
        <v>75</v>
      </c>
      <c r="C158" t="s">
        <v>14</v>
      </c>
      <c r="D158">
        <v>44</v>
      </c>
      <c r="E158" t="s">
        <v>15</v>
      </c>
      <c r="F158" t="s">
        <v>22</v>
      </c>
      <c r="G158">
        <v>928167</v>
      </c>
      <c r="H158" t="s">
        <v>211</v>
      </c>
      <c r="J158" t="s">
        <v>18</v>
      </c>
      <c r="K158">
        <v>3</v>
      </c>
      <c r="L158">
        <v>8</v>
      </c>
      <c r="M158">
        <v>94</v>
      </c>
      <c r="N158">
        <f>IF(Table1[[#This Row],[Employment_Status]]="Exited",1,0)</f>
        <v>0</v>
      </c>
      <c r="O158" t="str" cm="1">
        <f t="array" ref="O158">_xlfn.IFS(AND(Table1[[#This Row],[Age]]&gt;=22,Table1[[#This Row],[Age]]&lt;=35),"22-35",AND(Table1[[#This Row],[Age]]&gt;=36,Table1[[#This Row],[Age]]&lt;=45),"36-45",AND(Table1[[#This Row],[Age]]&gt;=46,Table1[[#This Row],[Age]]&lt;=55),"46-55")</f>
        <v>36-45</v>
      </c>
      <c r="P158">
        <f>IF(Table1[[#This Row],[Employment_Status]]="active",1,0)</f>
        <v>1</v>
      </c>
      <c r="Q158">
        <v>1</v>
      </c>
      <c r="R158" s="6">
        <f ca="1">YEARFRAC(Table1[[#This Row],[Hire_Date]],IF(Table1[[#This Row],[Employment_Status]]="Exited",Table1[[#This Row],[Exit_Date]],TODAY()))</f>
        <v>4.6916666666666664</v>
      </c>
      <c r="S158" t="str" cm="1">
        <f t="array" aca="1" ref="S158" ca="1">_xlfn.IFS(AND(Table1[[#This Row],[Tenure]]&gt;=0,Table1[[#This Row],[Tenure]]&lt;=1),"0-1",AND(Table1[[#This Row],[Tenure]]&gt;1,Table1[[#This Row],[Tenure]]&lt;=3),"1-3",AND(Table1[[#This Row],[Tenure]]&gt;3,Table1[[#This Row],[Tenure]]&lt;=5),"3-5",AND(Table1[[#This Row],[Tenure]]&gt;5,Table1[[#This Row],[Tenure]]&lt;=8),"5-8")</f>
        <v>3-5</v>
      </c>
      <c r="T158" t="str" cm="1">
        <f t="array" ref="T158">_xlfn.IFS(AND(Table1[[#This Row],[Salary]]&gt;=180000, Table1[[#This Row],[Salary]] &lt;=500000),"Low (180k-500k)", AND(Table1[[#This Row],[Salary]]&gt;500000, Table1[[#This Row],[Salary]]&lt;=800000), "Medium (501k-800k)", AND(Table1[[#This Row],[Salary]]&gt;800000, Table1[[#This Row],[Salary]]&lt;1200000), "High (801k - 1.2m)")</f>
        <v>High (801k - 1.2m)</v>
      </c>
    </row>
    <row r="159" spans="1:20" x14ac:dyDescent="0.2">
      <c r="A159">
        <v>158</v>
      </c>
      <c r="B159" t="s">
        <v>24</v>
      </c>
      <c r="C159" t="s">
        <v>14</v>
      </c>
      <c r="D159">
        <v>22</v>
      </c>
      <c r="E159" t="s">
        <v>15</v>
      </c>
      <c r="F159" t="s">
        <v>34</v>
      </c>
      <c r="G159">
        <v>480320</v>
      </c>
      <c r="H159" t="s">
        <v>120</v>
      </c>
      <c r="J159" t="s">
        <v>18</v>
      </c>
      <c r="K159">
        <v>3</v>
      </c>
      <c r="L159">
        <v>26</v>
      </c>
      <c r="M159">
        <v>89</v>
      </c>
      <c r="N159">
        <f>IF(Table1[[#This Row],[Employment_Status]]="Exited",1,0)</f>
        <v>0</v>
      </c>
      <c r="O159" t="str" cm="1">
        <f t="array" ref="O159">_xlfn.IFS(AND(Table1[[#This Row],[Age]]&gt;=22,Table1[[#This Row],[Age]]&lt;=35),"22-35",AND(Table1[[#This Row],[Age]]&gt;=36,Table1[[#This Row],[Age]]&lt;=45),"36-45",AND(Table1[[#This Row],[Age]]&gt;=46,Table1[[#This Row],[Age]]&lt;=55),"46-55")</f>
        <v>22-35</v>
      </c>
      <c r="P159">
        <f>IF(Table1[[#This Row],[Employment_Status]]="active",1,0)</f>
        <v>1</v>
      </c>
      <c r="Q159">
        <v>1</v>
      </c>
      <c r="R159" s="6">
        <f ca="1">YEARFRAC(Table1[[#This Row],[Hire_Date]],IF(Table1[[#This Row],[Employment_Status]]="Exited",Table1[[#This Row],[Exit_Date]],TODAY()))</f>
        <v>4.5388888888888888</v>
      </c>
      <c r="S159" t="str" cm="1">
        <f t="array" aca="1" ref="S159" ca="1">_xlfn.IFS(AND(Table1[[#This Row],[Tenure]]&gt;=0,Table1[[#This Row],[Tenure]]&lt;=1),"0-1",AND(Table1[[#This Row],[Tenure]]&gt;1,Table1[[#This Row],[Tenure]]&lt;=3),"1-3",AND(Table1[[#This Row],[Tenure]]&gt;3,Table1[[#This Row],[Tenure]]&lt;=5),"3-5",AND(Table1[[#This Row],[Tenure]]&gt;5,Table1[[#This Row],[Tenure]]&lt;=8),"5-8")</f>
        <v>3-5</v>
      </c>
      <c r="T159" t="str" cm="1">
        <f t="array" ref="T159">_xlfn.IFS(AND(Table1[[#This Row],[Salary]]&gt;=180000, Table1[[#This Row],[Salary]] &lt;=500000),"Low (180k-500k)", AND(Table1[[#This Row],[Salary]]&gt;500000, Table1[[#This Row],[Salary]]&lt;=800000), "Medium (501k-800k)", AND(Table1[[#This Row],[Salary]]&gt;800000, Table1[[#This Row],[Salary]]&lt;1200000), "High (801k - 1.2m)")</f>
        <v>Low (180k-500k)</v>
      </c>
    </row>
    <row r="160" spans="1:20" x14ac:dyDescent="0.2">
      <c r="A160">
        <v>159</v>
      </c>
      <c r="B160" t="s">
        <v>29</v>
      </c>
      <c r="C160" t="s">
        <v>14</v>
      </c>
      <c r="D160">
        <v>34</v>
      </c>
      <c r="E160" t="s">
        <v>61</v>
      </c>
      <c r="F160" t="s">
        <v>22</v>
      </c>
      <c r="G160">
        <v>291718</v>
      </c>
      <c r="H160" t="s">
        <v>212</v>
      </c>
      <c r="J160" t="s">
        <v>18</v>
      </c>
      <c r="K160">
        <v>3</v>
      </c>
      <c r="L160">
        <v>0</v>
      </c>
      <c r="M160">
        <v>84</v>
      </c>
      <c r="N160">
        <f>IF(Table1[[#This Row],[Employment_Status]]="Exited",1,0)</f>
        <v>0</v>
      </c>
      <c r="O160" t="str" cm="1">
        <f t="array" ref="O160">_xlfn.IFS(AND(Table1[[#This Row],[Age]]&gt;=22,Table1[[#This Row],[Age]]&lt;=35),"22-35",AND(Table1[[#This Row],[Age]]&gt;=36,Table1[[#This Row],[Age]]&lt;=45),"36-45",AND(Table1[[#This Row],[Age]]&gt;=46,Table1[[#This Row],[Age]]&lt;=55),"46-55")</f>
        <v>22-35</v>
      </c>
      <c r="P160">
        <f>IF(Table1[[#This Row],[Employment_Status]]="active",1,0)</f>
        <v>1</v>
      </c>
      <c r="Q160">
        <v>1</v>
      </c>
      <c r="R160" s="6">
        <f ca="1">YEARFRAC(Table1[[#This Row],[Hire_Date]],IF(Table1[[#This Row],[Employment_Status]]="Exited",Table1[[#This Row],[Exit_Date]],TODAY()))</f>
        <v>3.5861111111111112</v>
      </c>
      <c r="S160" t="str" cm="1">
        <f t="array" aca="1" ref="S160" ca="1">_xlfn.IFS(AND(Table1[[#This Row],[Tenure]]&gt;=0,Table1[[#This Row],[Tenure]]&lt;=1),"0-1",AND(Table1[[#This Row],[Tenure]]&gt;1,Table1[[#This Row],[Tenure]]&lt;=3),"1-3",AND(Table1[[#This Row],[Tenure]]&gt;3,Table1[[#This Row],[Tenure]]&lt;=5),"3-5",AND(Table1[[#This Row],[Tenure]]&gt;5,Table1[[#This Row],[Tenure]]&lt;=8),"5-8")</f>
        <v>3-5</v>
      </c>
      <c r="T160" t="str" cm="1">
        <f t="array" ref="T160">_xlfn.IFS(AND(Table1[[#This Row],[Salary]]&gt;=180000, Table1[[#This Row],[Salary]] &lt;=500000),"Low (180k-500k)", AND(Table1[[#This Row],[Salary]]&gt;500000, Table1[[#This Row],[Salary]]&lt;=800000), "Medium (501k-800k)", AND(Table1[[#This Row],[Salary]]&gt;800000, Table1[[#This Row],[Salary]]&lt;1200000), "High (801k - 1.2m)")</f>
        <v>Low (180k-500k)</v>
      </c>
    </row>
    <row r="161" spans="1:20" x14ac:dyDescent="0.2">
      <c r="A161">
        <v>160</v>
      </c>
      <c r="B161" t="s">
        <v>29</v>
      </c>
      <c r="C161" t="s">
        <v>14</v>
      </c>
      <c r="D161">
        <v>26</v>
      </c>
      <c r="E161" t="s">
        <v>49</v>
      </c>
      <c r="F161" t="s">
        <v>34</v>
      </c>
      <c r="G161">
        <v>509859</v>
      </c>
      <c r="H161" t="s">
        <v>213</v>
      </c>
      <c r="J161" t="s">
        <v>18</v>
      </c>
      <c r="K161">
        <v>3</v>
      </c>
      <c r="L161">
        <v>45</v>
      </c>
      <c r="M161">
        <v>92</v>
      </c>
      <c r="N161">
        <f>IF(Table1[[#This Row],[Employment_Status]]="Exited",1,0)</f>
        <v>0</v>
      </c>
      <c r="O161" t="str" cm="1">
        <f t="array" ref="O161">_xlfn.IFS(AND(Table1[[#This Row],[Age]]&gt;=22,Table1[[#This Row],[Age]]&lt;=35),"22-35",AND(Table1[[#This Row],[Age]]&gt;=36,Table1[[#This Row],[Age]]&lt;=45),"36-45",AND(Table1[[#This Row],[Age]]&gt;=46,Table1[[#This Row],[Age]]&lt;=55),"46-55")</f>
        <v>22-35</v>
      </c>
      <c r="P161">
        <f>IF(Table1[[#This Row],[Employment_Status]]="active",1,0)</f>
        <v>1</v>
      </c>
      <c r="Q161">
        <v>1</v>
      </c>
      <c r="R161" s="6">
        <f ca="1">YEARFRAC(Table1[[#This Row],[Hire_Date]],IF(Table1[[#This Row],[Employment_Status]]="Exited",Table1[[#This Row],[Exit_Date]],TODAY()))</f>
        <v>3.6527777777777777</v>
      </c>
      <c r="S161" t="str" cm="1">
        <f t="array" aca="1" ref="S161" ca="1">_xlfn.IFS(AND(Table1[[#This Row],[Tenure]]&gt;=0,Table1[[#This Row],[Tenure]]&lt;=1),"0-1",AND(Table1[[#This Row],[Tenure]]&gt;1,Table1[[#This Row],[Tenure]]&lt;=3),"1-3",AND(Table1[[#This Row],[Tenure]]&gt;3,Table1[[#This Row],[Tenure]]&lt;=5),"3-5",AND(Table1[[#This Row],[Tenure]]&gt;5,Table1[[#This Row],[Tenure]]&lt;=8),"5-8")</f>
        <v>3-5</v>
      </c>
      <c r="T161" t="str" cm="1">
        <f t="array" ref="T161">_xlfn.IFS(AND(Table1[[#This Row],[Salary]]&gt;=180000, Table1[[#This Row],[Salary]] &lt;=500000),"Low (180k-500k)", AND(Table1[[#This Row],[Salary]]&gt;500000, Table1[[#This Row],[Salary]]&lt;=800000), "Medium (501k-800k)", AND(Table1[[#This Row],[Salary]]&gt;800000, Table1[[#This Row],[Salary]]&lt;1200000), "High (801k - 1.2m)")</f>
        <v>Medium (501k-800k)</v>
      </c>
    </row>
    <row r="162" spans="1:20" x14ac:dyDescent="0.2">
      <c r="A162">
        <v>161</v>
      </c>
      <c r="B162" t="s">
        <v>40</v>
      </c>
      <c r="C162" t="s">
        <v>14</v>
      </c>
      <c r="D162">
        <v>45</v>
      </c>
      <c r="E162" t="s">
        <v>21</v>
      </c>
      <c r="F162" t="s">
        <v>27</v>
      </c>
      <c r="G162">
        <v>276581</v>
      </c>
      <c r="H162" t="s">
        <v>214</v>
      </c>
      <c r="J162" t="s">
        <v>18</v>
      </c>
      <c r="K162">
        <v>3</v>
      </c>
      <c r="L162">
        <v>15</v>
      </c>
      <c r="M162">
        <v>81</v>
      </c>
      <c r="N162">
        <f>IF(Table1[[#This Row],[Employment_Status]]="Exited",1,0)</f>
        <v>0</v>
      </c>
      <c r="O162" t="str" cm="1">
        <f t="array" ref="O162">_xlfn.IFS(AND(Table1[[#This Row],[Age]]&gt;=22,Table1[[#This Row],[Age]]&lt;=35),"22-35",AND(Table1[[#This Row],[Age]]&gt;=36,Table1[[#This Row],[Age]]&lt;=45),"36-45",AND(Table1[[#This Row],[Age]]&gt;=46,Table1[[#This Row],[Age]]&lt;=55),"46-55")</f>
        <v>36-45</v>
      </c>
      <c r="P162">
        <f>IF(Table1[[#This Row],[Employment_Status]]="active",1,0)</f>
        <v>1</v>
      </c>
      <c r="Q162">
        <v>1</v>
      </c>
      <c r="R162" s="6">
        <f ca="1">YEARFRAC(Table1[[#This Row],[Hire_Date]],IF(Table1[[#This Row],[Employment_Status]]="Exited",Table1[[#This Row],[Exit_Date]],TODAY()))</f>
        <v>6.2611111111111111</v>
      </c>
      <c r="S162" t="str" cm="1">
        <f t="array" aca="1" ref="S162" ca="1">_xlfn.IFS(AND(Table1[[#This Row],[Tenure]]&gt;=0,Table1[[#This Row],[Tenure]]&lt;=1),"0-1",AND(Table1[[#This Row],[Tenure]]&gt;1,Table1[[#This Row],[Tenure]]&lt;=3),"1-3",AND(Table1[[#This Row],[Tenure]]&gt;3,Table1[[#This Row],[Tenure]]&lt;=5),"3-5",AND(Table1[[#This Row],[Tenure]]&gt;5,Table1[[#This Row],[Tenure]]&lt;=8),"5-8")</f>
        <v>5-8</v>
      </c>
      <c r="T162" t="str" cm="1">
        <f t="array" ref="T162">_xlfn.IFS(AND(Table1[[#This Row],[Salary]]&gt;=180000, Table1[[#This Row],[Salary]] &lt;=500000),"Low (180k-500k)", AND(Table1[[#This Row],[Salary]]&gt;500000, Table1[[#This Row],[Salary]]&lt;=800000), "Medium (501k-800k)", AND(Table1[[#This Row],[Salary]]&gt;800000, Table1[[#This Row],[Salary]]&lt;1200000), "High (801k - 1.2m)")</f>
        <v>Low (180k-500k)</v>
      </c>
    </row>
    <row r="163" spans="1:20" x14ac:dyDescent="0.2">
      <c r="A163">
        <v>162</v>
      </c>
      <c r="B163" t="s">
        <v>24</v>
      </c>
      <c r="C163" t="s">
        <v>20</v>
      </c>
      <c r="D163">
        <v>46</v>
      </c>
      <c r="E163" t="s">
        <v>15</v>
      </c>
      <c r="F163" t="s">
        <v>22</v>
      </c>
      <c r="G163">
        <v>410023</v>
      </c>
      <c r="H163" t="s">
        <v>215</v>
      </c>
      <c r="J163" t="s">
        <v>18</v>
      </c>
      <c r="K163">
        <v>4</v>
      </c>
      <c r="L163">
        <v>37</v>
      </c>
      <c r="M163">
        <v>66</v>
      </c>
      <c r="N163">
        <f>IF(Table1[[#This Row],[Employment_Status]]="Exited",1,0)</f>
        <v>0</v>
      </c>
      <c r="O163" t="str" cm="1">
        <f t="array" ref="O163">_xlfn.IFS(AND(Table1[[#This Row],[Age]]&gt;=22,Table1[[#This Row],[Age]]&lt;=35),"22-35",AND(Table1[[#This Row],[Age]]&gt;=36,Table1[[#This Row],[Age]]&lt;=45),"36-45",AND(Table1[[#This Row],[Age]]&gt;=46,Table1[[#This Row],[Age]]&lt;=55),"46-55")</f>
        <v>46-55</v>
      </c>
      <c r="P163">
        <f>IF(Table1[[#This Row],[Employment_Status]]="active",1,0)</f>
        <v>1</v>
      </c>
      <c r="Q163">
        <v>1</v>
      </c>
      <c r="R163" s="6">
        <f ca="1">YEARFRAC(Table1[[#This Row],[Hire_Date]],IF(Table1[[#This Row],[Employment_Status]]="Exited",Table1[[#This Row],[Exit_Date]],TODAY()))</f>
        <v>2.9722222222222223</v>
      </c>
      <c r="S163" t="str" cm="1">
        <f t="array" aca="1" ref="S163" ca="1">_xlfn.IFS(AND(Table1[[#This Row],[Tenure]]&gt;=0,Table1[[#This Row],[Tenure]]&lt;=1),"0-1",AND(Table1[[#This Row],[Tenure]]&gt;1,Table1[[#This Row],[Tenure]]&lt;=3),"1-3",AND(Table1[[#This Row],[Tenure]]&gt;3,Table1[[#This Row],[Tenure]]&lt;=5),"3-5",AND(Table1[[#This Row],[Tenure]]&gt;5,Table1[[#This Row],[Tenure]]&lt;=8),"5-8")</f>
        <v>1-3</v>
      </c>
      <c r="T163" t="str" cm="1">
        <f t="array" ref="T163">_xlfn.IFS(AND(Table1[[#This Row],[Salary]]&gt;=180000, Table1[[#This Row],[Salary]] &lt;=500000),"Low (180k-500k)", AND(Table1[[#This Row],[Salary]]&gt;500000, Table1[[#This Row],[Salary]]&lt;=800000), "Medium (501k-800k)", AND(Table1[[#This Row],[Salary]]&gt;800000, Table1[[#This Row],[Salary]]&lt;1200000), "High (801k - 1.2m)")</f>
        <v>Low (180k-500k)</v>
      </c>
    </row>
    <row r="164" spans="1:20" x14ac:dyDescent="0.2">
      <c r="A164">
        <v>163</v>
      </c>
      <c r="B164" t="s">
        <v>58</v>
      </c>
      <c r="C164" t="s">
        <v>20</v>
      </c>
      <c r="D164">
        <v>41</v>
      </c>
      <c r="E164" t="s">
        <v>21</v>
      </c>
      <c r="F164" t="s">
        <v>27</v>
      </c>
      <c r="G164">
        <v>337685</v>
      </c>
      <c r="H164" t="s">
        <v>216</v>
      </c>
      <c r="J164" t="s">
        <v>18</v>
      </c>
      <c r="K164">
        <v>4</v>
      </c>
      <c r="L164">
        <v>21</v>
      </c>
      <c r="M164">
        <v>65</v>
      </c>
      <c r="N164">
        <f>IF(Table1[[#This Row],[Employment_Status]]="Exited",1,0)</f>
        <v>0</v>
      </c>
      <c r="O164" t="str" cm="1">
        <f t="array" ref="O164">_xlfn.IFS(AND(Table1[[#This Row],[Age]]&gt;=22,Table1[[#This Row],[Age]]&lt;=35),"22-35",AND(Table1[[#This Row],[Age]]&gt;=36,Table1[[#This Row],[Age]]&lt;=45),"36-45",AND(Table1[[#This Row],[Age]]&gt;=46,Table1[[#This Row],[Age]]&lt;=55),"46-55")</f>
        <v>36-45</v>
      </c>
      <c r="P164">
        <f>IF(Table1[[#This Row],[Employment_Status]]="active",1,0)</f>
        <v>1</v>
      </c>
      <c r="Q164">
        <v>1</v>
      </c>
      <c r="R164" s="6">
        <f ca="1">YEARFRAC(Table1[[#This Row],[Hire_Date]],IF(Table1[[#This Row],[Employment_Status]]="Exited",Table1[[#This Row],[Exit_Date]],TODAY()))</f>
        <v>2.7</v>
      </c>
      <c r="S164" t="str" cm="1">
        <f t="array" aca="1" ref="S164" ca="1">_xlfn.IFS(AND(Table1[[#This Row],[Tenure]]&gt;=0,Table1[[#This Row],[Tenure]]&lt;=1),"0-1",AND(Table1[[#This Row],[Tenure]]&gt;1,Table1[[#This Row],[Tenure]]&lt;=3),"1-3",AND(Table1[[#This Row],[Tenure]]&gt;3,Table1[[#This Row],[Tenure]]&lt;=5),"3-5",AND(Table1[[#This Row],[Tenure]]&gt;5,Table1[[#This Row],[Tenure]]&lt;=8),"5-8")</f>
        <v>1-3</v>
      </c>
      <c r="T164" t="str" cm="1">
        <f t="array" ref="T164">_xlfn.IFS(AND(Table1[[#This Row],[Salary]]&gt;=180000, Table1[[#This Row],[Salary]] &lt;=500000),"Low (180k-500k)", AND(Table1[[#This Row],[Salary]]&gt;500000, Table1[[#This Row],[Salary]]&lt;=800000), "Medium (501k-800k)", AND(Table1[[#This Row],[Salary]]&gt;800000, Table1[[#This Row],[Salary]]&lt;1200000), "High (801k - 1.2m)")</f>
        <v>Low (180k-500k)</v>
      </c>
    </row>
    <row r="165" spans="1:20" x14ac:dyDescent="0.2">
      <c r="A165">
        <v>164</v>
      </c>
      <c r="B165" t="s">
        <v>26</v>
      </c>
      <c r="C165" t="s">
        <v>14</v>
      </c>
      <c r="D165">
        <v>32</v>
      </c>
      <c r="E165" t="s">
        <v>45</v>
      </c>
      <c r="F165" t="s">
        <v>22</v>
      </c>
      <c r="G165">
        <v>550377</v>
      </c>
      <c r="H165" t="s">
        <v>217</v>
      </c>
      <c r="J165" t="s">
        <v>18</v>
      </c>
      <c r="K165">
        <v>4</v>
      </c>
      <c r="L165">
        <v>36</v>
      </c>
      <c r="M165">
        <v>79</v>
      </c>
      <c r="N165">
        <f>IF(Table1[[#This Row],[Employment_Status]]="Exited",1,0)</f>
        <v>0</v>
      </c>
      <c r="O165" t="str" cm="1">
        <f t="array" ref="O165">_xlfn.IFS(AND(Table1[[#This Row],[Age]]&gt;=22,Table1[[#This Row],[Age]]&lt;=35),"22-35",AND(Table1[[#This Row],[Age]]&gt;=36,Table1[[#This Row],[Age]]&lt;=45),"36-45",AND(Table1[[#This Row],[Age]]&gt;=46,Table1[[#This Row],[Age]]&lt;=55),"46-55")</f>
        <v>22-35</v>
      </c>
      <c r="P165">
        <f>IF(Table1[[#This Row],[Employment_Status]]="active",1,0)</f>
        <v>1</v>
      </c>
      <c r="Q165">
        <v>1</v>
      </c>
      <c r="R165" s="6">
        <f ca="1">YEARFRAC(Table1[[#This Row],[Hire_Date]],IF(Table1[[#This Row],[Employment_Status]]="Exited",Table1[[#This Row],[Exit_Date]],TODAY()))</f>
        <v>3.536111111111111</v>
      </c>
      <c r="S165" t="str" cm="1">
        <f t="array" aca="1" ref="S165" ca="1">_xlfn.IFS(AND(Table1[[#This Row],[Tenure]]&gt;=0,Table1[[#This Row],[Tenure]]&lt;=1),"0-1",AND(Table1[[#This Row],[Tenure]]&gt;1,Table1[[#This Row],[Tenure]]&lt;=3),"1-3",AND(Table1[[#This Row],[Tenure]]&gt;3,Table1[[#This Row],[Tenure]]&lt;=5),"3-5",AND(Table1[[#This Row],[Tenure]]&gt;5,Table1[[#This Row],[Tenure]]&lt;=8),"5-8")</f>
        <v>3-5</v>
      </c>
      <c r="T165" t="str" cm="1">
        <f t="array" ref="T165">_xlfn.IFS(AND(Table1[[#This Row],[Salary]]&gt;=180000, Table1[[#This Row],[Salary]] &lt;=500000),"Low (180k-500k)", AND(Table1[[#This Row],[Salary]]&gt;500000, Table1[[#This Row],[Salary]]&lt;=800000), "Medium (501k-800k)", AND(Table1[[#This Row],[Salary]]&gt;800000, Table1[[#This Row],[Salary]]&lt;1200000), "High (801k - 1.2m)")</f>
        <v>Medium (501k-800k)</v>
      </c>
    </row>
    <row r="166" spans="1:20" x14ac:dyDescent="0.2">
      <c r="A166">
        <v>165</v>
      </c>
      <c r="B166" t="s">
        <v>75</v>
      </c>
      <c r="C166" t="s">
        <v>14</v>
      </c>
      <c r="D166">
        <v>37</v>
      </c>
      <c r="E166" t="s">
        <v>15</v>
      </c>
      <c r="F166" t="s">
        <v>22</v>
      </c>
      <c r="G166">
        <v>562203</v>
      </c>
      <c r="H166" t="s">
        <v>218</v>
      </c>
      <c r="J166" t="s">
        <v>18</v>
      </c>
      <c r="K166">
        <v>4</v>
      </c>
      <c r="L166">
        <v>41</v>
      </c>
      <c r="M166">
        <v>84</v>
      </c>
      <c r="N166">
        <f>IF(Table1[[#This Row],[Employment_Status]]="Exited",1,0)</f>
        <v>0</v>
      </c>
      <c r="O166" t="str" cm="1">
        <f t="array" ref="O166">_xlfn.IFS(AND(Table1[[#This Row],[Age]]&gt;=22,Table1[[#This Row],[Age]]&lt;=35),"22-35",AND(Table1[[#This Row],[Age]]&gt;=36,Table1[[#This Row],[Age]]&lt;=45),"36-45",AND(Table1[[#This Row],[Age]]&gt;=46,Table1[[#This Row],[Age]]&lt;=55),"46-55")</f>
        <v>36-45</v>
      </c>
      <c r="P166">
        <f>IF(Table1[[#This Row],[Employment_Status]]="active",1,0)</f>
        <v>1</v>
      </c>
      <c r="Q166">
        <v>1</v>
      </c>
      <c r="R166" s="6">
        <f ca="1">YEARFRAC(Table1[[#This Row],[Hire_Date]],IF(Table1[[#This Row],[Employment_Status]]="Exited",Table1[[#This Row],[Exit_Date]],TODAY()))</f>
        <v>4.4722222222222223</v>
      </c>
      <c r="S166" t="str" cm="1">
        <f t="array" aca="1" ref="S166" ca="1">_xlfn.IFS(AND(Table1[[#This Row],[Tenure]]&gt;=0,Table1[[#This Row],[Tenure]]&lt;=1),"0-1",AND(Table1[[#This Row],[Tenure]]&gt;1,Table1[[#This Row],[Tenure]]&lt;=3),"1-3",AND(Table1[[#This Row],[Tenure]]&gt;3,Table1[[#This Row],[Tenure]]&lt;=5),"3-5",AND(Table1[[#This Row],[Tenure]]&gt;5,Table1[[#This Row],[Tenure]]&lt;=8),"5-8")</f>
        <v>3-5</v>
      </c>
      <c r="T166" t="str" cm="1">
        <f t="array" ref="T166">_xlfn.IFS(AND(Table1[[#This Row],[Salary]]&gt;=180000, Table1[[#This Row],[Salary]] &lt;=500000),"Low (180k-500k)", AND(Table1[[#This Row],[Salary]]&gt;500000, Table1[[#This Row],[Salary]]&lt;=800000), "Medium (501k-800k)", AND(Table1[[#This Row],[Salary]]&gt;800000, Table1[[#This Row],[Salary]]&lt;1200000), "High (801k - 1.2m)")</f>
        <v>Medium (501k-800k)</v>
      </c>
    </row>
    <row r="167" spans="1:20" x14ac:dyDescent="0.2">
      <c r="A167">
        <v>166</v>
      </c>
      <c r="B167" t="s">
        <v>26</v>
      </c>
      <c r="C167" t="s">
        <v>14</v>
      </c>
      <c r="D167">
        <v>35</v>
      </c>
      <c r="E167" t="s">
        <v>21</v>
      </c>
      <c r="F167" t="s">
        <v>22</v>
      </c>
      <c r="G167">
        <v>551437</v>
      </c>
      <c r="H167" t="s">
        <v>219</v>
      </c>
      <c r="I167" t="s">
        <v>220</v>
      </c>
      <c r="J167" t="s">
        <v>55</v>
      </c>
      <c r="K167">
        <v>4</v>
      </c>
      <c r="L167">
        <v>30</v>
      </c>
      <c r="M167">
        <v>82</v>
      </c>
      <c r="N167">
        <f>IF(Table1[[#This Row],[Employment_Status]]="Exited",1,0)</f>
        <v>1</v>
      </c>
      <c r="O167" t="str" cm="1">
        <f t="array" ref="O167">_xlfn.IFS(AND(Table1[[#This Row],[Age]]&gt;=22,Table1[[#This Row],[Age]]&lt;=35),"22-35",AND(Table1[[#This Row],[Age]]&gt;=36,Table1[[#This Row],[Age]]&lt;=45),"36-45",AND(Table1[[#This Row],[Age]]&gt;=46,Table1[[#This Row],[Age]]&lt;=55),"46-55")</f>
        <v>22-35</v>
      </c>
      <c r="P167">
        <f>IF(Table1[[#This Row],[Employment_Status]]="active",1,0)</f>
        <v>0</v>
      </c>
      <c r="Q167">
        <v>1</v>
      </c>
      <c r="R167" s="6">
        <f ca="1">YEARFRAC(Table1[[#This Row],[Hire_Date]],IF(Table1[[#This Row],[Employment_Status]]="Exited",Table1[[#This Row],[Exit_Date]],TODAY()))</f>
        <v>0.83888888888888891</v>
      </c>
      <c r="S167" t="str" cm="1">
        <f t="array" aca="1" ref="S167" ca="1">_xlfn.IFS(AND(Table1[[#This Row],[Tenure]]&gt;=0,Table1[[#This Row],[Tenure]]&lt;=1),"0-1",AND(Table1[[#This Row],[Tenure]]&gt;1,Table1[[#This Row],[Tenure]]&lt;=3),"1-3",AND(Table1[[#This Row],[Tenure]]&gt;3,Table1[[#This Row],[Tenure]]&lt;=5),"3-5",AND(Table1[[#This Row],[Tenure]]&gt;5,Table1[[#This Row],[Tenure]]&lt;=8),"5-8")</f>
        <v>0-1</v>
      </c>
      <c r="T167" t="str" cm="1">
        <f t="array" ref="T167">_xlfn.IFS(AND(Table1[[#This Row],[Salary]]&gt;=180000, Table1[[#This Row],[Salary]] &lt;=500000),"Low (180k-500k)", AND(Table1[[#This Row],[Salary]]&gt;500000, Table1[[#This Row],[Salary]]&lt;=800000), "Medium (501k-800k)", AND(Table1[[#This Row],[Salary]]&gt;800000, Table1[[#This Row],[Salary]]&lt;1200000), "High (801k - 1.2m)")</f>
        <v>Medium (501k-800k)</v>
      </c>
    </row>
    <row r="168" spans="1:20" x14ac:dyDescent="0.2">
      <c r="A168">
        <v>167</v>
      </c>
      <c r="B168" t="s">
        <v>13</v>
      </c>
      <c r="C168" t="s">
        <v>14</v>
      </c>
      <c r="D168">
        <v>45</v>
      </c>
      <c r="E168" t="s">
        <v>21</v>
      </c>
      <c r="F168" t="s">
        <v>27</v>
      </c>
      <c r="G168">
        <v>549206</v>
      </c>
      <c r="H168" t="s">
        <v>221</v>
      </c>
      <c r="J168" t="s">
        <v>18</v>
      </c>
      <c r="K168">
        <v>5</v>
      </c>
      <c r="L168">
        <v>48</v>
      </c>
      <c r="M168">
        <v>83</v>
      </c>
      <c r="N168">
        <f>IF(Table1[[#This Row],[Employment_Status]]="Exited",1,0)</f>
        <v>0</v>
      </c>
      <c r="O168" t="str" cm="1">
        <f t="array" ref="O168">_xlfn.IFS(AND(Table1[[#This Row],[Age]]&gt;=22,Table1[[#This Row],[Age]]&lt;=35),"22-35",AND(Table1[[#This Row],[Age]]&gt;=36,Table1[[#This Row],[Age]]&lt;=45),"36-45",AND(Table1[[#This Row],[Age]]&gt;=46,Table1[[#This Row],[Age]]&lt;=55),"46-55")</f>
        <v>36-45</v>
      </c>
      <c r="P168">
        <f>IF(Table1[[#This Row],[Employment_Status]]="active",1,0)</f>
        <v>1</v>
      </c>
      <c r="Q168">
        <v>1</v>
      </c>
      <c r="R168" s="6">
        <f ca="1">YEARFRAC(Table1[[#This Row],[Hire_Date]],IF(Table1[[#This Row],[Employment_Status]]="Exited",Table1[[#This Row],[Exit_Date]],TODAY()))</f>
        <v>4.9888888888888889</v>
      </c>
      <c r="S168" t="str" cm="1">
        <f t="array" aca="1" ref="S168" ca="1">_xlfn.IFS(AND(Table1[[#This Row],[Tenure]]&gt;=0,Table1[[#This Row],[Tenure]]&lt;=1),"0-1",AND(Table1[[#This Row],[Tenure]]&gt;1,Table1[[#This Row],[Tenure]]&lt;=3),"1-3",AND(Table1[[#This Row],[Tenure]]&gt;3,Table1[[#This Row],[Tenure]]&lt;=5),"3-5",AND(Table1[[#This Row],[Tenure]]&gt;5,Table1[[#This Row],[Tenure]]&lt;=8),"5-8")</f>
        <v>3-5</v>
      </c>
      <c r="T168" t="str" cm="1">
        <f t="array" ref="T168">_xlfn.IFS(AND(Table1[[#This Row],[Salary]]&gt;=180000, Table1[[#This Row],[Salary]] &lt;=500000),"Low (180k-500k)", AND(Table1[[#This Row],[Salary]]&gt;500000, Table1[[#This Row],[Salary]]&lt;=800000), "Medium (501k-800k)", AND(Table1[[#This Row],[Salary]]&gt;800000, Table1[[#This Row],[Salary]]&lt;1200000), "High (801k - 1.2m)")</f>
        <v>Medium (501k-800k)</v>
      </c>
    </row>
    <row r="169" spans="1:20" x14ac:dyDescent="0.2">
      <c r="A169">
        <v>168</v>
      </c>
      <c r="B169" t="s">
        <v>24</v>
      </c>
      <c r="C169" t="s">
        <v>20</v>
      </c>
      <c r="D169">
        <v>30</v>
      </c>
      <c r="E169" t="s">
        <v>15</v>
      </c>
      <c r="F169" t="s">
        <v>34</v>
      </c>
      <c r="G169">
        <v>426312</v>
      </c>
      <c r="H169" t="s">
        <v>222</v>
      </c>
      <c r="J169" t="s">
        <v>18</v>
      </c>
      <c r="K169">
        <v>5</v>
      </c>
      <c r="L169">
        <v>34</v>
      </c>
      <c r="M169">
        <v>88</v>
      </c>
      <c r="N169">
        <f>IF(Table1[[#This Row],[Employment_Status]]="Exited",1,0)</f>
        <v>0</v>
      </c>
      <c r="O169" t="str" cm="1">
        <f t="array" ref="O169">_xlfn.IFS(AND(Table1[[#This Row],[Age]]&gt;=22,Table1[[#This Row],[Age]]&lt;=35),"22-35",AND(Table1[[#This Row],[Age]]&gt;=36,Table1[[#This Row],[Age]]&lt;=45),"36-45",AND(Table1[[#This Row],[Age]]&gt;=46,Table1[[#This Row],[Age]]&lt;=55),"46-55")</f>
        <v>22-35</v>
      </c>
      <c r="P169">
        <f>IF(Table1[[#This Row],[Employment_Status]]="active",1,0)</f>
        <v>1</v>
      </c>
      <c r="Q169">
        <v>1</v>
      </c>
      <c r="R169" s="6">
        <f ca="1">YEARFRAC(Table1[[#This Row],[Hire_Date]],IF(Table1[[#This Row],[Employment_Status]]="Exited",Table1[[#This Row],[Exit_Date]],TODAY()))</f>
        <v>3.7694444444444444</v>
      </c>
      <c r="S169" t="str" cm="1">
        <f t="array" aca="1" ref="S169" ca="1">_xlfn.IFS(AND(Table1[[#This Row],[Tenure]]&gt;=0,Table1[[#This Row],[Tenure]]&lt;=1),"0-1",AND(Table1[[#This Row],[Tenure]]&gt;1,Table1[[#This Row],[Tenure]]&lt;=3),"1-3",AND(Table1[[#This Row],[Tenure]]&gt;3,Table1[[#This Row],[Tenure]]&lt;=5),"3-5",AND(Table1[[#This Row],[Tenure]]&gt;5,Table1[[#This Row],[Tenure]]&lt;=8),"5-8")</f>
        <v>3-5</v>
      </c>
      <c r="T169" t="str" cm="1">
        <f t="array" ref="T169">_xlfn.IFS(AND(Table1[[#This Row],[Salary]]&gt;=180000, Table1[[#This Row],[Salary]] &lt;=500000),"Low (180k-500k)", AND(Table1[[#This Row],[Salary]]&gt;500000, Table1[[#This Row],[Salary]]&lt;=800000), "Medium (501k-800k)", AND(Table1[[#This Row],[Salary]]&gt;800000, Table1[[#This Row],[Salary]]&lt;1200000), "High (801k - 1.2m)")</f>
        <v>Low (180k-500k)</v>
      </c>
    </row>
    <row r="170" spans="1:20" x14ac:dyDescent="0.2">
      <c r="A170">
        <v>169</v>
      </c>
      <c r="B170" t="s">
        <v>29</v>
      </c>
      <c r="C170" t="s">
        <v>14</v>
      </c>
      <c r="D170">
        <v>36</v>
      </c>
      <c r="E170" t="s">
        <v>15</v>
      </c>
      <c r="F170" t="s">
        <v>27</v>
      </c>
      <c r="G170">
        <v>613034</v>
      </c>
      <c r="H170" t="s">
        <v>223</v>
      </c>
      <c r="J170" t="s">
        <v>18</v>
      </c>
      <c r="K170">
        <v>4</v>
      </c>
      <c r="L170">
        <v>40</v>
      </c>
      <c r="M170">
        <v>72</v>
      </c>
      <c r="N170">
        <f>IF(Table1[[#This Row],[Employment_Status]]="Exited",1,0)</f>
        <v>0</v>
      </c>
      <c r="O170" t="str" cm="1">
        <f t="array" ref="O170">_xlfn.IFS(AND(Table1[[#This Row],[Age]]&gt;=22,Table1[[#This Row],[Age]]&lt;=35),"22-35",AND(Table1[[#This Row],[Age]]&gt;=36,Table1[[#This Row],[Age]]&lt;=45),"36-45",AND(Table1[[#This Row],[Age]]&gt;=46,Table1[[#This Row],[Age]]&lt;=55),"46-55")</f>
        <v>36-45</v>
      </c>
      <c r="P170">
        <f>IF(Table1[[#This Row],[Employment_Status]]="active",1,0)</f>
        <v>1</v>
      </c>
      <c r="Q170">
        <v>1</v>
      </c>
      <c r="R170" s="6">
        <f ca="1">YEARFRAC(Table1[[#This Row],[Hire_Date]],IF(Table1[[#This Row],[Employment_Status]]="Exited",Table1[[#This Row],[Exit_Date]],TODAY()))</f>
        <v>3.5333333333333332</v>
      </c>
      <c r="S170" t="str" cm="1">
        <f t="array" aca="1" ref="S170" ca="1">_xlfn.IFS(AND(Table1[[#This Row],[Tenure]]&gt;=0,Table1[[#This Row],[Tenure]]&lt;=1),"0-1",AND(Table1[[#This Row],[Tenure]]&gt;1,Table1[[#This Row],[Tenure]]&lt;=3),"1-3",AND(Table1[[#This Row],[Tenure]]&gt;3,Table1[[#This Row],[Tenure]]&lt;=5),"3-5",AND(Table1[[#This Row],[Tenure]]&gt;5,Table1[[#This Row],[Tenure]]&lt;=8),"5-8")</f>
        <v>3-5</v>
      </c>
      <c r="T170" t="str" cm="1">
        <f t="array" ref="T170">_xlfn.IFS(AND(Table1[[#This Row],[Salary]]&gt;=180000, Table1[[#This Row],[Salary]] &lt;=500000),"Low (180k-500k)", AND(Table1[[#This Row],[Salary]]&gt;500000, Table1[[#This Row],[Salary]]&lt;=800000), "Medium (501k-800k)", AND(Table1[[#This Row],[Salary]]&gt;800000, Table1[[#This Row],[Salary]]&lt;1200000), "High (801k - 1.2m)")</f>
        <v>Medium (501k-800k)</v>
      </c>
    </row>
    <row r="171" spans="1:20" x14ac:dyDescent="0.2">
      <c r="A171">
        <v>170</v>
      </c>
      <c r="B171" t="s">
        <v>75</v>
      </c>
      <c r="C171" t="s">
        <v>20</v>
      </c>
      <c r="D171">
        <v>47</v>
      </c>
      <c r="E171" t="s">
        <v>49</v>
      </c>
      <c r="F171" t="s">
        <v>34</v>
      </c>
      <c r="G171">
        <v>488574</v>
      </c>
      <c r="H171" t="s">
        <v>96</v>
      </c>
      <c r="J171" t="s">
        <v>18</v>
      </c>
      <c r="K171">
        <v>4</v>
      </c>
      <c r="L171">
        <v>33</v>
      </c>
      <c r="M171">
        <v>86</v>
      </c>
      <c r="N171">
        <f>IF(Table1[[#This Row],[Employment_Status]]="Exited",1,0)</f>
        <v>0</v>
      </c>
      <c r="O171" t="str" cm="1">
        <f t="array" ref="O171">_xlfn.IFS(AND(Table1[[#This Row],[Age]]&gt;=22,Table1[[#This Row],[Age]]&lt;=35),"22-35",AND(Table1[[#This Row],[Age]]&gt;=36,Table1[[#This Row],[Age]]&lt;=45),"36-45",AND(Table1[[#This Row],[Age]]&gt;=46,Table1[[#This Row],[Age]]&lt;=55),"46-55")</f>
        <v>46-55</v>
      </c>
      <c r="P171">
        <f>IF(Table1[[#This Row],[Employment_Status]]="active",1,0)</f>
        <v>1</v>
      </c>
      <c r="Q171">
        <v>1</v>
      </c>
      <c r="R171" s="6">
        <f ca="1">YEARFRAC(Table1[[#This Row],[Hire_Date]],IF(Table1[[#This Row],[Employment_Status]]="Exited",Table1[[#This Row],[Exit_Date]],TODAY()))</f>
        <v>3.6694444444444443</v>
      </c>
      <c r="S171" t="str" cm="1">
        <f t="array" aca="1" ref="S171" ca="1">_xlfn.IFS(AND(Table1[[#This Row],[Tenure]]&gt;=0,Table1[[#This Row],[Tenure]]&lt;=1),"0-1",AND(Table1[[#This Row],[Tenure]]&gt;1,Table1[[#This Row],[Tenure]]&lt;=3),"1-3",AND(Table1[[#This Row],[Tenure]]&gt;3,Table1[[#This Row],[Tenure]]&lt;=5),"3-5",AND(Table1[[#This Row],[Tenure]]&gt;5,Table1[[#This Row],[Tenure]]&lt;=8),"5-8")</f>
        <v>3-5</v>
      </c>
      <c r="T171" t="str" cm="1">
        <f t="array" ref="T171">_xlfn.IFS(AND(Table1[[#This Row],[Salary]]&gt;=180000, Table1[[#This Row],[Salary]] &lt;=500000),"Low (180k-500k)", AND(Table1[[#This Row],[Salary]]&gt;500000, Table1[[#This Row],[Salary]]&lt;=800000), "Medium (501k-800k)", AND(Table1[[#This Row],[Salary]]&gt;800000, Table1[[#This Row],[Salary]]&lt;1200000), "High (801k - 1.2m)")</f>
        <v>Low (180k-500k)</v>
      </c>
    </row>
    <row r="172" spans="1:20" x14ac:dyDescent="0.2">
      <c r="A172">
        <v>171</v>
      </c>
      <c r="B172" t="s">
        <v>36</v>
      </c>
      <c r="C172" t="s">
        <v>20</v>
      </c>
      <c r="D172">
        <v>46</v>
      </c>
      <c r="E172" t="s">
        <v>49</v>
      </c>
      <c r="F172" t="s">
        <v>34</v>
      </c>
      <c r="G172">
        <v>358140</v>
      </c>
      <c r="H172" t="s">
        <v>224</v>
      </c>
      <c r="J172" t="s">
        <v>18</v>
      </c>
      <c r="K172">
        <v>2</v>
      </c>
      <c r="L172">
        <v>11</v>
      </c>
      <c r="M172">
        <v>81</v>
      </c>
      <c r="N172">
        <f>IF(Table1[[#This Row],[Employment_Status]]="Exited",1,0)</f>
        <v>0</v>
      </c>
      <c r="O172" t="str" cm="1">
        <f t="array" ref="O172">_xlfn.IFS(AND(Table1[[#This Row],[Age]]&gt;=22,Table1[[#This Row],[Age]]&lt;=35),"22-35",AND(Table1[[#This Row],[Age]]&gt;=36,Table1[[#This Row],[Age]]&lt;=45),"36-45",AND(Table1[[#This Row],[Age]]&gt;=46,Table1[[#This Row],[Age]]&lt;=55),"46-55")</f>
        <v>46-55</v>
      </c>
      <c r="P172">
        <f>IF(Table1[[#This Row],[Employment_Status]]="active",1,0)</f>
        <v>1</v>
      </c>
      <c r="Q172">
        <v>1</v>
      </c>
      <c r="R172" s="6">
        <f ca="1">YEARFRAC(Table1[[#This Row],[Hire_Date]],IF(Table1[[#This Row],[Employment_Status]]="Exited",Table1[[#This Row],[Exit_Date]],TODAY()))</f>
        <v>3.25</v>
      </c>
      <c r="S172" t="str" cm="1">
        <f t="array" aca="1" ref="S172" ca="1">_xlfn.IFS(AND(Table1[[#This Row],[Tenure]]&gt;=0,Table1[[#This Row],[Tenure]]&lt;=1),"0-1",AND(Table1[[#This Row],[Tenure]]&gt;1,Table1[[#This Row],[Tenure]]&lt;=3),"1-3",AND(Table1[[#This Row],[Tenure]]&gt;3,Table1[[#This Row],[Tenure]]&lt;=5),"3-5",AND(Table1[[#This Row],[Tenure]]&gt;5,Table1[[#This Row],[Tenure]]&lt;=8),"5-8")</f>
        <v>3-5</v>
      </c>
      <c r="T172" t="str" cm="1">
        <f t="array" ref="T172">_xlfn.IFS(AND(Table1[[#This Row],[Salary]]&gt;=180000, Table1[[#This Row],[Salary]] &lt;=500000),"Low (180k-500k)", AND(Table1[[#This Row],[Salary]]&gt;500000, Table1[[#This Row],[Salary]]&lt;=800000), "Medium (501k-800k)", AND(Table1[[#This Row],[Salary]]&gt;800000, Table1[[#This Row],[Salary]]&lt;1200000), "High (801k - 1.2m)")</f>
        <v>Low (180k-500k)</v>
      </c>
    </row>
    <row r="173" spans="1:20" x14ac:dyDescent="0.2">
      <c r="A173">
        <v>172</v>
      </c>
      <c r="B173" t="s">
        <v>47</v>
      </c>
      <c r="C173" t="s">
        <v>20</v>
      </c>
      <c r="D173">
        <v>22</v>
      </c>
      <c r="E173" t="s">
        <v>15</v>
      </c>
      <c r="F173" t="s">
        <v>34</v>
      </c>
      <c r="G173">
        <v>845561</v>
      </c>
      <c r="H173" t="s">
        <v>225</v>
      </c>
      <c r="J173" t="s">
        <v>18</v>
      </c>
      <c r="K173">
        <v>3</v>
      </c>
      <c r="L173">
        <v>22</v>
      </c>
      <c r="M173">
        <v>82</v>
      </c>
      <c r="N173">
        <f>IF(Table1[[#This Row],[Employment_Status]]="Exited",1,0)</f>
        <v>0</v>
      </c>
      <c r="O173" t="str" cm="1">
        <f t="array" ref="O173">_xlfn.IFS(AND(Table1[[#This Row],[Age]]&gt;=22,Table1[[#This Row],[Age]]&lt;=35),"22-35",AND(Table1[[#This Row],[Age]]&gt;=36,Table1[[#This Row],[Age]]&lt;=45),"36-45",AND(Table1[[#This Row],[Age]]&gt;=46,Table1[[#This Row],[Age]]&lt;=55),"46-55")</f>
        <v>22-35</v>
      </c>
      <c r="P173">
        <f>IF(Table1[[#This Row],[Employment_Status]]="active",1,0)</f>
        <v>1</v>
      </c>
      <c r="Q173">
        <v>1</v>
      </c>
      <c r="R173" s="6">
        <f ca="1">YEARFRAC(Table1[[#This Row],[Hire_Date]],IF(Table1[[#This Row],[Employment_Status]]="Exited",Table1[[#This Row],[Exit_Date]],TODAY()))</f>
        <v>3.3916666666666666</v>
      </c>
      <c r="S173" t="str" cm="1">
        <f t="array" aca="1" ref="S173" ca="1">_xlfn.IFS(AND(Table1[[#This Row],[Tenure]]&gt;=0,Table1[[#This Row],[Tenure]]&lt;=1),"0-1",AND(Table1[[#This Row],[Tenure]]&gt;1,Table1[[#This Row],[Tenure]]&lt;=3),"1-3",AND(Table1[[#This Row],[Tenure]]&gt;3,Table1[[#This Row],[Tenure]]&lt;=5),"3-5",AND(Table1[[#This Row],[Tenure]]&gt;5,Table1[[#This Row],[Tenure]]&lt;=8),"5-8")</f>
        <v>3-5</v>
      </c>
      <c r="T173" t="str" cm="1">
        <f t="array" ref="T173">_xlfn.IFS(AND(Table1[[#This Row],[Salary]]&gt;=180000, Table1[[#This Row],[Salary]] &lt;=500000),"Low (180k-500k)", AND(Table1[[#This Row],[Salary]]&gt;500000, Table1[[#This Row],[Salary]]&lt;=800000), "Medium (501k-800k)", AND(Table1[[#This Row],[Salary]]&gt;800000, Table1[[#This Row],[Salary]]&lt;1200000), "High (801k - 1.2m)")</f>
        <v>High (801k - 1.2m)</v>
      </c>
    </row>
    <row r="174" spans="1:20" x14ac:dyDescent="0.2">
      <c r="A174">
        <v>173</v>
      </c>
      <c r="B174" t="s">
        <v>29</v>
      </c>
      <c r="C174" t="s">
        <v>14</v>
      </c>
      <c r="D174">
        <v>30</v>
      </c>
      <c r="E174" t="s">
        <v>21</v>
      </c>
      <c r="F174" t="s">
        <v>16</v>
      </c>
      <c r="G174">
        <v>386009</v>
      </c>
      <c r="H174" t="s">
        <v>226</v>
      </c>
      <c r="J174" t="s">
        <v>18</v>
      </c>
      <c r="K174">
        <v>2</v>
      </c>
      <c r="L174">
        <v>7</v>
      </c>
      <c r="M174">
        <v>72</v>
      </c>
      <c r="N174">
        <f>IF(Table1[[#This Row],[Employment_Status]]="Exited",1,0)</f>
        <v>0</v>
      </c>
      <c r="O174" t="str" cm="1">
        <f t="array" ref="O174">_xlfn.IFS(AND(Table1[[#This Row],[Age]]&gt;=22,Table1[[#This Row],[Age]]&lt;=35),"22-35",AND(Table1[[#This Row],[Age]]&gt;=36,Table1[[#This Row],[Age]]&lt;=45),"36-45",AND(Table1[[#This Row],[Age]]&gt;=46,Table1[[#This Row],[Age]]&lt;=55),"46-55")</f>
        <v>22-35</v>
      </c>
      <c r="P174">
        <f>IF(Table1[[#This Row],[Employment_Status]]="active",1,0)</f>
        <v>1</v>
      </c>
      <c r="Q174">
        <v>1</v>
      </c>
      <c r="R174" s="6">
        <f ca="1">YEARFRAC(Table1[[#This Row],[Hire_Date]],IF(Table1[[#This Row],[Employment_Status]]="Exited",Table1[[#This Row],[Exit_Date]],TODAY()))</f>
        <v>2.7555555555555555</v>
      </c>
      <c r="S174" t="str" cm="1">
        <f t="array" aca="1" ref="S174" ca="1">_xlfn.IFS(AND(Table1[[#This Row],[Tenure]]&gt;=0,Table1[[#This Row],[Tenure]]&lt;=1),"0-1",AND(Table1[[#This Row],[Tenure]]&gt;1,Table1[[#This Row],[Tenure]]&lt;=3),"1-3",AND(Table1[[#This Row],[Tenure]]&gt;3,Table1[[#This Row],[Tenure]]&lt;=5),"3-5",AND(Table1[[#This Row],[Tenure]]&gt;5,Table1[[#This Row],[Tenure]]&lt;=8),"5-8")</f>
        <v>1-3</v>
      </c>
      <c r="T174" t="str" cm="1">
        <f t="array" ref="T174">_xlfn.IFS(AND(Table1[[#This Row],[Salary]]&gt;=180000, Table1[[#This Row],[Salary]] &lt;=500000),"Low (180k-500k)", AND(Table1[[#This Row],[Salary]]&gt;500000, Table1[[#This Row],[Salary]]&lt;=800000), "Medium (501k-800k)", AND(Table1[[#This Row],[Salary]]&gt;800000, Table1[[#This Row],[Salary]]&lt;1200000), "High (801k - 1.2m)")</f>
        <v>Low (180k-500k)</v>
      </c>
    </row>
    <row r="175" spans="1:20" x14ac:dyDescent="0.2">
      <c r="A175">
        <v>174</v>
      </c>
      <c r="B175" t="s">
        <v>40</v>
      </c>
      <c r="C175" t="s">
        <v>14</v>
      </c>
      <c r="D175">
        <v>45</v>
      </c>
      <c r="E175" t="s">
        <v>49</v>
      </c>
      <c r="F175" t="s">
        <v>34</v>
      </c>
      <c r="G175">
        <v>326179</v>
      </c>
      <c r="H175" t="s">
        <v>70</v>
      </c>
      <c r="J175" t="s">
        <v>18</v>
      </c>
      <c r="K175">
        <v>4</v>
      </c>
      <c r="L175">
        <v>43</v>
      </c>
      <c r="M175">
        <v>97</v>
      </c>
      <c r="N175">
        <f>IF(Table1[[#This Row],[Employment_Status]]="Exited",1,0)</f>
        <v>0</v>
      </c>
      <c r="O175" t="str" cm="1">
        <f t="array" ref="O175">_xlfn.IFS(AND(Table1[[#This Row],[Age]]&gt;=22,Table1[[#This Row],[Age]]&lt;=35),"22-35",AND(Table1[[#This Row],[Age]]&gt;=36,Table1[[#This Row],[Age]]&lt;=45),"36-45",AND(Table1[[#This Row],[Age]]&gt;=46,Table1[[#This Row],[Age]]&lt;=55),"46-55")</f>
        <v>36-45</v>
      </c>
      <c r="P175">
        <f>IF(Table1[[#This Row],[Employment_Status]]="active",1,0)</f>
        <v>1</v>
      </c>
      <c r="Q175">
        <v>1</v>
      </c>
      <c r="R175" s="6">
        <f ca="1">YEARFRAC(Table1[[#This Row],[Hire_Date]],IF(Table1[[#This Row],[Employment_Status]]="Exited",Table1[[#This Row],[Exit_Date]],TODAY()))</f>
        <v>5.3555555555555552</v>
      </c>
      <c r="S175" t="str" cm="1">
        <f t="array" aca="1" ref="S175" ca="1">_xlfn.IFS(AND(Table1[[#This Row],[Tenure]]&gt;=0,Table1[[#This Row],[Tenure]]&lt;=1),"0-1",AND(Table1[[#This Row],[Tenure]]&gt;1,Table1[[#This Row],[Tenure]]&lt;=3),"1-3",AND(Table1[[#This Row],[Tenure]]&gt;3,Table1[[#This Row],[Tenure]]&lt;=5),"3-5",AND(Table1[[#This Row],[Tenure]]&gt;5,Table1[[#This Row],[Tenure]]&lt;=8),"5-8")</f>
        <v>5-8</v>
      </c>
      <c r="T175" t="str" cm="1">
        <f t="array" ref="T175">_xlfn.IFS(AND(Table1[[#This Row],[Salary]]&gt;=180000, Table1[[#This Row],[Salary]] &lt;=500000),"Low (180k-500k)", AND(Table1[[#This Row],[Salary]]&gt;500000, Table1[[#This Row],[Salary]]&lt;=800000), "Medium (501k-800k)", AND(Table1[[#This Row],[Salary]]&gt;800000, Table1[[#This Row],[Salary]]&lt;1200000), "High (801k - 1.2m)")</f>
        <v>Low (180k-500k)</v>
      </c>
    </row>
    <row r="176" spans="1:20" x14ac:dyDescent="0.2">
      <c r="A176">
        <v>175</v>
      </c>
      <c r="B176" t="s">
        <v>13</v>
      </c>
      <c r="C176" t="s">
        <v>20</v>
      </c>
      <c r="D176">
        <v>52</v>
      </c>
      <c r="E176" t="s">
        <v>49</v>
      </c>
      <c r="F176" t="s">
        <v>16</v>
      </c>
      <c r="G176">
        <v>325201</v>
      </c>
      <c r="H176" t="s">
        <v>227</v>
      </c>
      <c r="J176" t="s">
        <v>18</v>
      </c>
      <c r="K176">
        <v>3</v>
      </c>
      <c r="L176">
        <v>27</v>
      </c>
      <c r="M176">
        <v>100</v>
      </c>
      <c r="N176">
        <f>IF(Table1[[#This Row],[Employment_Status]]="Exited",1,0)</f>
        <v>0</v>
      </c>
      <c r="O176" t="str" cm="1">
        <f t="array" ref="O176">_xlfn.IFS(AND(Table1[[#This Row],[Age]]&gt;=22,Table1[[#This Row],[Age]]&lt;=35),"22-35",AND(Table1[[#This Row],[Age]]&gt;=36,Table1[[#This Row],[Age]]&lt;=45),"36-45",AND(Table1[[#This Row],[Age]]&gt;=46,Table1[[#This Row],[Age]]&lt;=55),"46-55")</f>
        <v>46-55</v>
      </c>
      <c r="P176">
        <f>IF(Table1[[#This Row],[Employment_Status]]="active",1,0)</f>
        <v>1</v>
      </c>
      <c r="Q176">
        <v>1</v>
      </c>
      <c r="R176" s="6">
        <f ca="1">YEARFRAC(Table1[[#This Row],[Hire_Date]],IF(Table1[[#This Row],[Employment_Status]]="Exited",Table1[[#This Row],[Exit_Date]],TODAY()))</f>
        <v>2.1083333333333334</v>
      </c>
      <c r="S176" t="str" cm="1">
        <f t="array" aca="1" ref="S176" ca="1">_xlfn.IFS(AND(Table1[[#This Row],[Tenure]]&gt;=0,Table1[[#This Row],[Tenure]]&lt;=1),"0-1",AND(Table1[[#This Row],[Tenure]]&gt;1,Table1[[#This Row],[Tenure]]&lt;=3),"1-3",AND(Table1[[#This Row],[Tenure]]&gt;3,Table1[[#This Row],[Tenure]]&lt;=5),"3-5",AND(Table1[[#This Row],[Tenure]]&gt;5,Table1[[#This Row],[Tenure]]&lt;=8),"5-8")</f>
        <v>1-3</v>
      </c>
      <c r="T176" t="str" cm="1">
        <f t="array" ref="T176">_xlfn.IFS(AND(Table1[[#This Row],[Salary]]&gt;=180000, Table1[[#This Row],[Salary]] &lt;=500000),"Low (180k-500k)", AND(Table1[[#This Row],[Salary]]&gt;500000, Table1[[#This Row],[Salary]]&lt;=800000), "Medium (501k-800k)", AND(Table1[[#This Row],[Salary]]&gt;800000, Table1[[#This Row],[Salary]]&lt;1200000), "High (801k - 1.2m)")</f>
        <v>Low (180k-500k)</v>
      </c>
    </row>
    <row r="177" spans="1:20" x14ac:dyDescent="0.2">
      <c r="A177">
        <v>176</v>
      </c>
      <c r="B177" t="s">
        <v>40</v>
      </c>
      <c r="C177" t="s">
        <v>14</v>
      </c>
      <c r="D177">
        <v>23</v>
      </c>
      <c r="E177" t="s">
        <v>21</v>
      </c>
      <c r="F177" t="s">
        <v>27</v>
      </c>
      <c r="G177">
        <v>387734</v>
      </c>
      <c r="H177" t="s">
        <v>228</v>
      </c>
      <c r="J177" t="s">
        <v>18</v>
      </c>
      <c r="K177">
        <v>4</v>
      </c>
      <c r="L177">
        <v>33</v>
      </c>
      <c r="M177">
        <v>74</v>
      </c>
      <c r="N177">
        <f>IF(Table1[[#This Row],[Employment_Status]]="Exited",1,0)</f>
        <v>0</v>
      </c>
      <c r="O177" t="str" cm="1">
        <f t="array" ref="O177">_xlfn.IFS(AND(Table1[[#This Row],[Age]]&gt;=22,Table1[[#This Row],[Age]]&lt;=35),"22-35",AND(Table1[[#This Row],[Age]]&gt;=36,Table1[[#This Row],[Age]]&lt;=45),"36-45",AND(Table1[[#This Row],[Age]]&gt;=46,Table1[[#This Row],[Age]]&lt;=55),"46-55")</f>
        <v>22-35</v>
      </c>
      <c r="P177">
        <f>IF(Table1[[#This Row],[Employment_Status]]="active",1,0)</f>
        <v>1</v>
      </c>
      <c r="Q177">
        <v>1</v>
      </c>
      <c r="R177" s="6">
        <f ca="1">YEARFRAC(Table1[[#This Row],[Hire_Date]],IF(Table1[[#This Row],[Employment_Status]]="Exited",Table1[[#This Row],[Exit_Date]],TODAY()))</f>
        <v>4.9027777777777777</v>
      </c>
      <c r="S177" t="str" cm="1">
        <f t="array" aca="1" ref="S177" ca="1">_xlfn.IFS(AND(Table1[[#This Row],[Tenure]]&gt;=0,Table1[[#This Row],[Tenure]]&lt;=1),"0-1",AND(Table1[[#This Row],[Tenure]]&gt;1,Table1[[#This Row],[Tenure]]&lt;=3),"1-3",AND(Table1[[#This Row],[Tenure]]&gt;3,Table1[[#This Row],[Tenure]]&lt;=5),"3-5",AND(Table1[[#This Row],[Tenure]]&gt;5,Table1[[#This Row],[Tenure]]&lt;=8),"5-8")</f>
        <v>3-5</v>
      </c>
      <c r="T177" t="str" cm="1">
        <f t="array" ref="T177">_xlfn.IFS(AND(Table1[[#This Row],[Salary]]&gt;=180000, Table1[[#This Row],[Salary]] &lt;=500000),"Low (180k-500k)", AND(Table1[[#This Row],[Salary]]&gt;500000, Table1[[#This Row],[Salary]]&lt;=800000), "Medium (501k-800k)", AND(Table1[[#This Row],[Salary]]&gt;800000, Table1[[#This Row],[Salary]]&lt;1200000), "High (801k - 1.2m)")</f>
        <v>Low (180k-500k)</v>
      </c>
    </row>
    <row r="178" spans="1:20" x14ac:dyDescent="0.2">
      <c r="A178">
        <v>177</v>
      </c>
      <c r="B178" t="s">
        <v>24</v>
      </c>
      <c r="C178" t="s">
        <v>20</v>
      </c>
      <c r="D178">
        <v>31</v>
      </c>
      <c r="E178" t="s">
        <v>61</v>
      </c>
      <c r="F178" t="s">
        <v>16</v>
      </c>
      <c r="G178">
        <v>285197</v>
      </c>
      <c r="H178" t="s">
        <v>229</v>
      </c>
      <c r="J178" t="s">
        <v>18</v>
      </c>
      <c r="K178">
        <v>3</v>
      </c>
      <c r="L178">
        <v>14</v>
      </c>
      <c r="M178">
        <v>75</v>
      </c>
      <c r="N178">
        <f>IF(Table1[[#This Row],[Employment_Status]]="Exited",1,0)</f>
        <v>0</v>
      </c>
      <c r="O178" t="str" cm="1">
        <f t="array" ref="O178">_xlfn.IFS(AND(Table1[[#This Row],[Age]]&gt;=22,Table1[[#This Row],[Age]]&lt;=35),"22-35",AND(Table1[[#This Row],[Age]]&gt;=36,Table1[[#This Row],[Age]]&lt;=45),"36-45",AND(Table1[[#This Row],[Age]]&gt;=46,Table1[[#This Row],[Age]]&lt;=55),"46-55")</f>
        <v>22-35</v>
      </c>
      <c r="P178">
        <f>IF(Table1[[#This Row],[Employment_Status]]="active",1,0)</f>
        <v>1</v>
      </c>
      <c r="Q178">
        <v>1</v>
      </c>
      <c r="R178" s="6">
        <f ca="1">YEARFRAC(Table1[[#This Row],[Hire_Date]],IF(Table1[[#This Row],[Employment_Status]]="Exited",Table1[[#This Row],[Exit_Date]],TODAY()))</f>
        <v>5.4611111111111112</v>
      </c>
      <c r="S178" t="str" cm="1">
        <f t="array" aca="1" ref="S178" ca="1">_xlfn.IFS(AND(Table1[[#This Row],[Tenure]]&gt;=0,Table1[[#This Row],[Tenure]]&lt;=1),"0-1",AND(Table1[[#This Row],[Tenure]]&gt;1,Table1[[#This Row],[Tenure]]&lt;=3),"1-3",AND(Table1[[#This Row],[Tenure]]&gt;3,Table1[[#This Row],[Tenure]]&lt;=5),"3-5",AND(Table1[[#This Row],[Tenure]]&gt;5,Table1[[#This Row],[Tenure]]&lt;=8),"5-8")</f>
        <v>5-8</v>
      </c>
      <c r="T178" t="str" cm="1">
        <f t="array" ref="T178">_xlfn.IFS(AND(Table1[[#This Row],[Salary]]&gt;=180000, Table1[[#This Row],[Salary]] &lt;=500000),"Low (180k-500k)", AND(Table1[[#This Row],[Salary]]&gt;500000, Table1[[#This Row],[Salary]]&lt;=800000), "Medium (501k-800k)", AND(Table1[[#This Row],[Salary]]&gt;800000, Table1[[#This Row],[Salary]]&lt;1200000), "High (801k - 1.2m)")</f>
        <v>Low (180k-500k)</v>
      </c>
    </row>
    <row r="179" spans="1:20" x14ac:dyDescent="0.2">
      <c r="A179">
        <v>178</v>
      </c>
      <c r="B179" t="s">
        <v>24</v>
      </c>
      <c r="C179" t="s">
        <v>20</v>
      </c>
      <c r="D179">
        <v>31</v>
      </c>
      <c r="E179" t="s">
        <v>45</v>
      </c>
      <c r="F179" t="s">
        <v>16</v>
      </c>
      <c r="G179">
        <v>478332</v>
      </c>
      <c r="H179" t="s">
        <v>230</v>
      </c>
      <c r="J179" t="s">
        <v>18</v>
      </c>
      <c r="K179">
        <v>2</v>
      </c>
      <c r="L179">
        <v>17</v>
      </c>
      <c r="M179">
        <v>76</v>
      </c>
      <c r="N179">
        <f>IF(Table1[[#This Row],[Employment_Status]]="Exited",1,0)</f>
        <v>0</v>
      </c>
      <c r="O179" t="str" cm="1">
        <f t="array" ref="O179">_xlfn.IFS(AND(Table1[[#This Row],[Age]]&gt;=22,Table1[[#This Row],[Age]]&lt;=35),"22-35",AND(Table1[[#This Row],[Age]]&gt;=36,Table1[[#This Row],[Age]]&lt;=45),"36-45",AND(Table1[[#This Row],[Age]]&gt;=46,Table1[[#This Row],[Age]]&lt;=55),"46-55")</f>
        <v>22-35</v>
      </c>
      <c r="P179">
        <f>IF(Table1[[#This Row],[Employment_Status]]="active",1,0)</f>
        <v>1</v>
      </c>
      <c r="Q179">
        <v>1</v>
      </c>
      <c r="R179" s="6">
        <f ca="1">YEARFRAC(Table1[[#This Row],[Hire_Date]],IF(Table1[[#This Row],[Employment_Status]]="Exited",Table1[[#This Row],[Exit_Date]],TODAY()))</f>
        <v>7.322222222222222</v>
      </c>
      <c r="S179" t="str" cm="1">
        <f t="array" aca="1" ref="S179" ca="1">_xlfn.IFS(AND(Table1[[#This Row],[Tenure]]&gt;=0,Table1[[#This Row],[Tenure]]&lt;=1),"0-1",AND(Table1[[#This Row],[Tenure]]&gt;1,Table1[[#This Row],[Tenure]]&lt;=3),"1-3",AND(Table1[[#This Row],[Tenure]]&gt;3,Table1[[#This Row],[Tenure]]&lt;=5),"3-5",AND(Table1[[#This Row],[Tenure]]&gt;5,Table1[[#This Row],[Tenure]]&lt;=8),"5-8")</f>
        <v>5-8</v>
      </c>
      <c r="T179" t="str" cm="1">
        <f t="array" ref="T179">_xlfn.IFS(AND(Table1[[#This Row],[Salary]]&gt;=180000, Table1[[#This Row],[Salary]] &lt;=500000),"Low (180k-500k)", AND(Table1[[#This Row],[Salary]]&gt;500000, Table1[[#This Row],[Salary]]&lt;=800000), "Medium (501k-800k)", AND(Table1[[#This Row],[Salary]]&gt;800000, Table1[[#This Row],[Salary]]&lt;1200000), "High (801k - 1.2m)")</f>
        <v>Low (180k-500k)</v>
      </c>
    </row>
    <row r="180" spans="1:20" x14ac:dyDescent="0.2">
      <c r="A180">
        <v>179</v>
      </c>
      <c r="B180" t="s">
        <v>31</v>
      </c>
      <c r="C180" t="s">
        <v>14</v>
      </c>
      <c r="D180">
        <v>33</v>
      </c>
      <c r="E180" t="s">
        <v>15</v>
      </c>
      <c r="F180" t="s">
        <v>34</v>
      </c>
      <c r="G180">
        <v>663943</v>
      </c>
      <c r="H180" t="s">
        <v>231</v>
      </c>
      <c r="J180" t="s">
        <v>18</v>
      </c>
      <c r="K180">
        <v>3</v>
      </c>
      <c r="L180">
        <v>16</v>
      </c>
      <c r="M180">
        <v>89</v>
      </c>
      <c r="N180">
        <f>IF(Table1[[#This Row],[Employment_Status]]="Exited",1,0)</f>
        <v>0</v>
      </c>
      <c r="O180" t="str" cm="1">
        <f t="array" ref="O180">_xlfn.IFS(AND(Table1[[#This Row],[Age]]&gt;=22,Table1[[#This Row],[Age]]&lt;=35),"22-35",AND(Table1[[#This Row],[Age]]&gt;=36,Table1[[#This Row],[Age]]&lt;=45),"36-45",AND(Table1[[#This Row],[Age]]&gt;=46,Table1[[#This Row],[Age]]&lt;=55),"46-55")</f>
        <v>22-35</v>
      </c>
      <c r="P180">
        <f>IF(Table1[[#This Row],[Employment_Status]]="active",1,0)</f>
        <v>1</v>
      </c>
      <c r="Q180">
        <v>1</v>
      </c>
      <c r="R180" s="6">
        <f ca="1">YEARFRAC(Table1[[#This Row],[Hire_Date]],IF(Table1[[#This Row],[Employment_Status]]="Exited",Table1[[#This Row],[Exit_Date]],TODAY()))</f>
        <v>2.3694444444444445</v>
      </c>
      <c r="S180" t="str" cm="1">
        <f t="array" aca="1" ref="S180" ca="1">_xlfn.IFS(AND(Table1[[#This Row],[Tenure]]&gt;=0,Table1[[#This Row],[Tenure]]&lt;=1),"0-1",AND(Table1[[#This Row],[Tenure]]&gt;1,Table1[[#This Row],[Tenure]]&lt;=3),"1-3",AND(Table1[[#This Row],[Tenure]]&gt;3,Table1[[#This Row],[Tenure]]&lt;=5),"3-5",AND(Table1[[#This Row],[Tenure]]&gt;5,Table1[[#This Row],[Tenure]]&lt;=8),"5-8")</f>
        <v>1-3</v>
      </c>
      <c r="T180" t="str" cm="1">
        <f t="array" ref="T180">_xlfn.IFS(AND(Table1[[#This Row],[Salary]]&gt;=180000, Table1[[#This Row],[Salary]] &lt;=500000),"Low (180k-500k)", AND(Table1[[#This Row],[Salary]]&gt;500000, Table1[[#This Row],[Salary]]&lt;=800000), "Medium (501k-800k)", AND(Table1[[#This Row],[Salary]]&gt;800000, Table1[[#This Row],[Salary]]&lt;1200000), "High (801k - 1.2m)")</f>
        <v>Medium (501k-800k)</v>
      </c>
    </row>
    <row r="181" spans="1:20" x14ac:dyDescent="0.2">
      <c r="A181">
        <v>180</v>
      </c>
      <c r="B181" t="s">
        <v>19</v>
      </c>
      <c r="C181" t="s">
        <v>20</v>
      </c>
      <c r="D181">
        <v>51</v>
      </c>
      <c r="E181" t="s">
        <v>45</v>
      </c>
      <c r="F181" t="s">
        <v>27</v>
      </c>
      <c r="G181">
        <v>319272</v>
      </c>
      <c r="H181" t="s">
        <v>130</v>
      </c>
      <c r="J181" t="s">
        <v>18</v>
      </c>
      <c r="K181">
        <v>1</v>
      </c>
      <c r="L181">
        <v>3</v>
      </c>
      <c r="M181">
        <v>86</v>
      </c>
      <c r="N181">
        <f>IF(Table1[[#This Row],[Employment_Status]]="Exited",1,0)</f>
        <v>0</v>
      </c>
      <c r="O181" t="str" cm="1">
        <f t="array" ref="O181">_xlfn.IFS(AND(Table1[[#This Row],[Age]]&gt;=22,Table1[[#This Row],[Age]]&lt;=35),"22-35",AND(Table1[[#This Row],[Age]]&gt;=36,Table1[[#This Row],[Age]]&lt;=45),"36-45",AND(Table1[[#This Row],[Age]]&gt;=46,Table1[[#This Row],[Age]]&lt;=55),"46-55")</f>
        <v>46-55</v>
      </c>
      <c r="P181">
        <f>IF(Table1[[#This Row],[Employment_Status]]="active",1,0)</f>
        <v>1</v>
      </c>
      <c r="Q181">
        <v>1</v>
      </c>
      <c r="R181" s="6">
        <f ca="1">YEARFRAC(Table1[[#This Row],[Hire_Date]],IF(Table1[[#This Row],[Employment_Status]]="Exited",Table1[[#This Row],[Exit_Date]],TODAY()))</f>
        <v>5.166666666666667</v>
      </c>
      <c r="S181" t="str" cm="1">
        <f t="array" aca="1" ref="S181" ca="1">_xlfn.IFS(AND(Table1[[#This Row],[Tenure]]&gt;=0,Table1[[#This Row],[Tenure]]&lt;=1),"0-1",AND(Table1[[#This Row],[Tenure]]&gt;1,Table1[[#This Row],[Tenure]]&lt;=3),"1-3",AND(Table1[[#This Row],[Tenure]]&gt;3,Table1[[#This Row],[Tenure]]&lt;=5),"3-5",AND(Table1[[#This Row],[Tenure]]&gt;5,Table1[[#This Row],[Tenure]]&lt;=8),"5-8")</f>
        <v>5-8</v>
      </c>
      <c r="T181" t="str" cm="1">
        <f t="array" ref="T181">_xlfn.IFS(AND(Table1[[#This Row],[Salary]]&gt;=180000, Table1[[#This Row],[Salary]] &lt;=500000),"Low (180k-500k)", AND(Table1[[#This Row],[Salary]]&gt;500000, Table1[[#This Row],[Salary]]&lt;=800000), "Medium (501k-800k)", AND(Table1[[#This Row],[Salary]]&gt;800000, Table1[[#This Row],[Salary]]&lt;1200000), "High (801k - 1.2m)")</f>
        <v>Low (180k-500k)</v>
      </c>
    </row>
    <row r="182" spans="1:20" x14ac:dyDescent="0.2">
      <c r="A182">
        <v>181</v>
      </c>
      <c r="B182" t="s">
        <v>26</v>
      </c>
      <c r="C182" t="s">
        <v>14</v>
      </c>
      <c r="D182">
        <v>34</v>
      </c>
      <c r="E182" t="s">
        <v>49</v>
      </c>
      <c r="F182" t="s">
        <v>16</v>
      </c>
      <c r="G182">
        <v>574317</v>
      </c>
      <c r="H182" t="s">
        <v>232</v>
      </c>
      <c r="I182" t="s">
        <v>200</v>
      </c>
      <c r="J182" t="s">
        <v>55</v>
      </c>
      <c r="K182">
        <v>4</v>
      </c>
      <c r="L182">
        <v>29</v>
      </c>
      <c r="M182">
        <v>81</v>
      </c>
      <c r="N182">
        <f>IF(Table1[[#This Row],[Employment_Status]]="Exited",1,0)</f>
        <v>1</v>
      </c>
      <c r="O182" t="str" cm="1">
        <f t="array" ref="O182">_xlfn.IFS(AND(Table1[[#This Row],[Age]]&gt;=22,Table1[[#This Row],[Age]]&lt;=35),"22-35",AND(Table1[[#This Row],[Age]]&gt;=36,Table1[[#This Row],[Age]]&lt;=45),"36-45",AND(Table1[[#This Row],[Age]]&gt;=46,Table1[[#This Row],[Age]]&lt;=55),"46-55")</f>
        <v>22-35</v>
      </c>
      <c r="P182">
        <f>IF(Table1[[#This Row],[Employment_Status]]="active",1,0)</f>
        <v>0</v>
      </c>
      <c r="Q182">
        <v>1</v>
      </c>
      <c r="R182" s="6">
        <f ca="1">YEARFRAC(Table1[[#This Row],[Hire_Date]],IF(Table1[[#This Row],[Employment_Status]]="Exited",Table1[[#This Row],[Exit_Date]],TODAY()))</f>
        <v>2.1027777777777779</v>
      </c>
      <c r="S182" t="str" cm="1">
        <f t="array" aca="1" ref="S182" ca="1">_xlfn.IFS(AND(Table1[[#This Row],[Tenure]]&gt;=0,Table1[[#This Row],[Tenure]]&lt;=1),"0-1",AND(Table1[[#This Row],[Tenure]]&gt;1,Table1[[#This Row],[Tenure]]&lt;=3),"1-3",AND(Table1[[#This Row],[Tenure]]&gt;3,Table1[[#This Row],[Tenure]]&lt;=5),"3-5",AND(Table1[[#This Row],[Tenure]]&gt;5,Table1[[#This Row],[Tenure]]&lt;=8),"5-8")</f>
        <v>1-3</v>
      </c>
      <c r="T182" t="str" cm="1">
        <f t="array" ref="T182">_xlfn.IFS(AND(Table1[[#This Row],[Salary]]&gt;=180000, Table1[[#This Row],[Salary]] &lt;=500000),"Low (180k-500k)", AND(Table1[[#This Row],[Salary]]&gt;500000, Table1[[#This Row],[Salary]]&lt;=800000), "Medium (501k-800k)", AND(Table1[[#This Row],[Salary]]&gt;800000, Table1[[#This Row],[Salary]]&lt;1200000), "High (801k - 1.2m)")</f>
        <v>Medium (501k-800k)</v>
      </c>
    </row>
    <row r="183" spans="1:20" x14ac:dyDescent="0.2">
      <c r="A183">
        <v>182</v>
      </c>
      <c r="B183" t="s">
        <v>26</v>
      </c>
      <c r="C183" t="s">
        <v>20</v>
      </c>
      <c r="D183">
        <v>47</v>
      </c>
      <c r="E183" t="s">
        <v>15</v>
      </c>
      <c r="F183" t="s">
        <v>22</v>
      </c>
      <c r="G183">
        <v>865544</v>
      </c>
      <c r="H183" t="s">
        <v>233</v>
      </c>
      <c r="J183" t="s">
        <v>18</v>
      </c>
      <c r="K183">
        <v>3</v>
      </c>
      <c r="L183">
        <v>43</v>
      </c>
      <c r="M183">
        <v>67</v>
      </c>
      <c r="N183">
        <f>IF(Table1[[#This Row],[Employment_Status]]="Exited",1,0)</f>
        <v>0</v>
      </c>
      <c r="O183" t="str" cm="1">
        <f t="array" ref="O183">_xlfn.IFS(AND(Table1[[#This Row],[Age]]&gt;=22,Table1[[#This Row],[Age]]&lt;=35),"22-35",AND(Table1[[#This Row],[Age]]&gt;=36,Table1[[#This Row],[Age]]&lt;=45),"36-45",AND(Table1[[#This Row],[Age]]&gt;=46,Table1[[#This Row],[Age]]&lt;=55),"46-55")</f>
        <v>46-55</v>
      </c>
      <c r="P183">
        <f>IF(Table1[[#This Row],[Employment_Status]]="active",1,0)</f>
        <v>1</v>
      </c>
      <c r="Q183">
        <v>1</v>
      </c>
      <c r="R183" s="6">
        <f ca="1">YEARFRAC(Table1[[#This Row],[Hire_Date]],IF(Table1[[#This Row],[Employment_Status]]="Exited",Table1[[#This Row],[Exit_Date]],TODAY()))</f>
        <v>4.7777777777777777</v>
      </c>
      <c r="S183" t="str" cm="1">
        <f t="array" aca="1" ref="S183" ca="1">_xlfn.IFS(AND(Table1[[#This Row],[Tenure]]&gt;=0,Table1[[#This Row],[Tenure]]&lt;=1),"0-1",AND(Table1[[#This Row],[Tenure]]&gt;1,Table1[[#This Row],[Tenure]]&lt;=3),"1-3",AND(Table1[[#This Row],[Tenure]]&gt;3,Table1[[#This Row],[Tenure]]&lt;=5),"3-5",AND(Table1[[#This Row],[Tenure]]&gt;5,Table1[[#This Row],[Tenure]]&lt;=8),"5-8")</f>
        <v>3-5</v>
      </c>
      <c r="T183" t="str" cm="1">
        <f t="array" ref="T183">_xlfn.IFS(AND(Table1[[#This Row],[Salary]]&gt;=180000, Table1[[#This Row],[Salary]] &lt;=500000),"Low (180k-500k)", AND(Table1[[#This Row],[Salary]]&gt;500000, Table1[[#This Row],[Salary]]&lt;=800000), "Medium (501k-800k)", AND(Table1[[#This Row],[Salary]]&gt;800000, Table1[[#This Row],[Salary]]&lt;1200000), "High (801k - 1.2m)")</f>
        <v>High (801k - 1.2m)</v>
      </c>
    </row>
    <row r="184" spans="1:20" x14ac:dyDescent="0.2">
      <c r="A184">
        <v>183</v>
      </c>
      <c r="B184" t="s">
        <v>36</v>
      </c>
      <c r="C184" t="s">
        <v>14</v>
      </c>
      <c r="D184">
        <v>52</v>
      </c>
      <c r="E184" t="s">
        <v>15</v>
      </c>
      <c r="F184" t="s">
        <v>34</v>
      </c>
      <c r="G184">
        <v>1132800</v>
      </c>
      <c r="H184" t="s">
        <v>234</v>
      </c>
      <c r="J184" t="s">
        <v>18</v>
      </c>
      <c r="K184">
        <v>4</v>
      </c>
      <c r="L184">
        <v>10</v>
      </c>
      <c r="M184">
        <v>81</v>
      </c>
      <c r="N184">
        <f>IF(Table1[[#This Row],[Employment_Status]]="Exited",1,0)</f>
        <v>0</v>
      </c>
      <c r="O184" t="str" cm="1">
        <f t="array" ref="O184">_xlfn.IFS(AND(Table1[[#This Row],[Age]]&gt;=22,Table1[[#This Row],[Age]]&lt;=35),"22-35",AND(Table1[[#This Row],[Age]]&gt;=36,Table1[[#This Row],[Age]]&lt;=45),"36-45",AND(Table1[[#This Row],[Age]]&gt;=46,Table1[[#This Row],[Age]]&lt;=55),"46-55")</f>
        <v>46-55</v>
      </c>
      <c r="P184">
        <f>IF(Table1[[#This Row],[Employment_Status]]="active",1,0)</f>
        <v>1</v>
      </c>
      <c r="Q184">
        <v>1</v>
      </c>
      <c r="R184" s="6">
        <f ca="1">YEARFRAC(Table1[[#This Row],[Hire_Date]],IF(Table1[[#This Row],[Employment_Status]]="Exited",Table1[[#This Row],[Exit_Date]],TODAY()))</f>
        <v>5.3055555555555554</v>
      </c>
      <c r="S184" t="str" cm="1">
        <f t="array" aca="1" ref="S184" ca="1">_xlfn.IFS(AND(Table1[[#This Row],[Tenure]]&gt;=0,Table1[[#This Row],[Tenure]]&lt;=1),"0-1",AND(Table1[[#This Row],[Tenure]]&gt;1,Table1[[#This Row],[Tenure]]&lt;=3),"1-3",AND(Table1[[#This Row],[Tenure]]&gt;3,Table1[[#This Row],[Tenure]]&lt;=5),"3-5",AND(Table1[[#This Row],[Tenure]]&gt;5,Table1[[#This Row],[Tenure]]&lt;=8),"5-8")</f>
        <v>5-8</v>
      </c>
      <c r="T184" t="str" cm="1">
        <f t="array" ref="T184">_xlfn.IFS(AND(Table1[[#This Row],[Salary]]&gt;=180000, Table1[[#This Row],[Salary]] &lt;=500000),"Low (180k-500k)", AND(Table1[[#This Row],[Salary]]&gt;500000, Table1[[#This Row],[Salary]]&lt;=800000), "Medium (501k-800k)", AND(Table1[[#This Row],[Salary]]&gt;800000, Table1[[#This Row],[Salary]]&lt;1200000), "High (801k - 1.2m)")</f>
        <v>High (801k - 1.2m)</v>
      </c>
    </row>
    <row r="185" spans="1:20" x14ac:dyDescent="0.2">
      <c r="A185">
        <v>184</v>
      </c>
      <c r="B185" t="s">
        <v>24</v>
      </c>
      <c r="C185" t="s">
        <v>20</v>
      </c>
      <c r="D185">
        <v>31</v>
      </c>
      <c r="E185" t="s">
        <v>61</v>
      </c>
      <c r="F185" t="s">
        <v>27</v>
      </c>
      <c r="G185">
        <v>311633</v>
      </c>
      <c r="H185" t="s">
        <v>235</v>
      </c>
      <c r="J185" t="s">
        <v>18</v>
      </c>
      <c r="K185">
        <v>2</v>
      </c>
      <c r="L185">
        <v>11</v>
      </c>
      <c r="M185">
        <v>76</v>
      </c>
      <c r="N185">
        <f>IF(Table1[[#This Row],[Employment_Status]]="Exited",1,0)</f>
        <v>0</v>
      </c>
      <c r="O185" t="str" cm="1">
        <f t="array" ref="O185">_xlfn.IFS(AND(Table1[[#This Row],[Age]]&gt;=22,Table1[[#This Row],[Age]]&lt;=35),"22-35",AND(Table1[[#This Row],[Age]]&gt;=36,Table1[[#This Row],[Age]]&lt;=45),"36-45",AND(Table1[[#This Row],[Age]]&gt;=46,Table1[[#This Row],[Age]]&lt;=55),"46-55")</f>
        <v>22-35</v>
      </c>
      <c r="P185">
        <f>IF(Table1[[#This Row],[Employment_Status]]="active",1,0)</f>
        <v>1</v>
      </c>
      <c r="Q185">
        <v>1</v>
      </c>
      <c r="R185" s="6">
        <f ca="1">YEARFRAC(Table1[[#This Row],[Hire_Date]],IF(Table1[[#This Row],[Employment_Status]]="Exited",Table1[[#This Row],[Exit_Date]],TODAY()))</f>
        <v>2.5416666666666665</v>
      </c>
      <c r="S185" t="str" cm="1">
        <f t="array" aca="1" ref="S185" ca="1">_xlfn.IFS(AND(Table1[[#This Row],[Tenure]]&gt;=0,Table1[[#This Row],[Tenure]]&lt;=1),"0-1",AND(Table1[[#This Row],[Tenure]]&gt;1,Table1[[#This Row],[Tenure]]&lt;=3),"1-3",AND(Table1[[#This Row],[Tenure]]&gt;3,Table1[[#This Row],[Tenure]]&lt;=5),"3-5",AND(Table1[[#This Row],[Tenure]]&gt;5,Table1[[#This Row],[Tenure]]&lt;=8),"5-8")</f>
        <v>1-3</v>
      </c>
      <c r="T185" t="str" cm="1">
        <f t="array" ref="T185">_xlfn.IFS(AND(Table1[[#This Row],[Salary]]&gt;=180000, Table1[[#This Row],[Salary]] &lt;=500000),"Low (180k-500k)", AND(Table1[[#This Row],[Salary]]&gt;500000, Table1[[#This Row],[Salary]]&lt;=800000), "Medium (501k-800k)", AND(Table1[[#This Row],[Salary]]&gt;800000, Table1[[#This Row],[Salary]]&lt;1200000), "High (801k - 1.2m)")</f>
        <v>Low (180k-500k)</v>
      </c>
    </row>
    <row r="186" spans="1:20" x14ac:dyDescent="0.2">
      <c r="A186">
        <v>185</v>
      </c>
      <c r="B186" t="s">
        <v>31</v>
      </c>
      <c r="C186" t="s">
        <v>14</v>
      </c>
      <c r="D186">
        <v>48</v>
      </c>
      <c r="E186" t="s">
        <v>15</v>
      </c>
      <c r="F186" t="s">
        <v>27</v>
      </c>
      <c r="G186">
        <v>739126</v>
      </c>
      <c r="H186" t="s">
        <v>236</v>
      </c>
      <c r="I186" t="s">
        <v>237</v>
      </c>
      <c r="J186" t="s">
        <v>55</v>
      </c>
      <c r="K186">
        <v>4</v>
      </c>
      <c r="L186">
        <v>18</v>
      </c>
      <c r="M186">
        <v>65</v>
      </c>
      <c r="N186">
        <f>IF(Table1[[#This Row],[Employment_Status]]="Exited",1,0)</f>
        <v>1</v>
      </c>
      <c r="O186" t="str" cm="1">
        <f t="array" ref="O186">_xlfn.IFS(AND(Table1[[#This Row],[Age]]&gt;=22,Table1[[#This Row],[Age]]&lt;=35),"22-35",AND(Table1[[#This Row],[Age]]&gt;=36,Table1[[#This Row],[Age]]&lt;=45),"36-45",AND(Table1[[#This Row],[Age]]&gt;=46,Table1[[#This Row],[Age]]&lt;=55),"46-55")</f>
        <v>46-55</v>
      </c>
      <c r="P186">
        <f>IF(Table1[[#This Row],[Employment_Status]]="active",1,0)</f>
        <v>0</v>
      </c>
      <c r="Q186">
        <v>1</v>
      </c>
      <c r="R186" s="6">
        <f ca="1">YEARFRAC(Table1[[#This Row],[Hire_Date]],IF(Table1[[#This Row],[Employment_Status]]="Exited",Table1[[#This Row],[Exit_Date]],TODAY()))</f>
        <v>2.1472222222222221</v>
      </c>
      <c r="S186" t="str" cm="1">
        <f t="array" aca="1" ref="S186" ca="1">_xlfn.IFS(AND(Table1[[#This Row],[Tenure]]&gt;=0,Table1[[#This Row],[Tenure]]&lt;=1),"0-1",AND(Table1[[#This Row],[Tenure]]&gt;1,Table1[[#This Row],[Tenure]]&lt;=3),"1-3",AND(Table1[[#This Row],[Tenure]]&gt;3,Table1[[#This Row],[Tenure]]&lt;=5),"3-5",AND(Table1[[#This Row],[Tenure]]&gt;5,Table1[[#This Row],[Tenure]]&lt;=8),"5-8")</f>
        <v>1-3</v>
      </c>
      <c r="T186" t="str" cm="1">
        <f t="array" ref="T186">_xlfn.IFS(AND(Table1[[#This Row],[Salary]]&gt;=180000, Table1[[#This Row],[Salary]] &lt;=500000),"Low (180k-500k)", AND(Table1[[#This Row],[Salary]]&gt;500000, Table1[[#This Row],[Salary]]&lt;=800000), "Medium (501k-800k)", AND(Table1[[#This Row],[Salary]]&gt;800000, Table1[[#This Row],[Salary]]&lt;1200000), "High (801k - 1.2m)")</f>
        <v>Medium (501k-800k)</v>
      </c>
    </row>
    <row r="187" spans="1:20" x14ac:dyDescent="0.2">
      <c r="A187">
        <v>186</v>
      </c>
      <c r="B187" t="s">
        <v>40</v>
      </c>
      <c r="C187" t="s">
        <v>14</v>
      </c>
      <c r="D187">
        <v>34</v>
      </c>
      <c r="E187" t="s">
        <v>21</v>
      </c>
      <c r="F187" t="s">
        <v>16</v>
      </c>
      <c r="G187">
        <v>450585</v>
      </c>
      <c r="H187" t="s">
        <v>238</v>
      </c>
      <c r="J187" t="s">
        <v>18</v>
      </c>
      <c r="K187">
        <v>2</v>
      </c>
      <c r="L187">
        <v>5</v>
      </c>
      <c r="M187">
        <v>94</v>
      </c>
      <c r="N187">
        <f>IF(Table1[[#This Row],[Employment_Status]]="Exited",1,0)</f>
        <v>0</v>
      </c>
      <c r="O187" t="str" cm="1">
        <f t="array" ref="O187">_xlfn.IFS(AND(Table1[[#This Row],[Age]]&gt;=22,Table1[[#This Row],[Age]]&lt;=35),"22-35",AND(Table1[[#This Row],[Age]]&gt;=36,Table1[[#This Row],[Age]]&lt;=45),"36-45",AND(Table1[[#This Row],[Age]]&gt;=46,Table1[[#This Row],[Age]]&lt;=55),"46-55")</f>
        <v>22-35</v>
      </c>
      <c r="P187">
        <f>IF(Table1[[#This Row],[Employment_Status]]="active",1,0)</f>
        <v>1</v>
      </c>
      <c r="Q187">
        <v>1</v>
      </c>
      <c r="R187" s="6">
        <f ca="1">YEARFRAC(Table1[[#This Row],[Hire_Date]],IF(Table1[[#This Row],[Employment_Status]]="Exited",Table1[[#This Row],[Exit_Date]],TODAY()))</f>
        <v>2.2388888888888889</v>
      </c>
      <c r="S187" t="str" cm="1">
        <f t="array" aca="1" ref="S187" ca="1">_xlfn.IFS(AND(Table1[[#This Row],[Tenure]]&gt;=0,Table1[[#This Row],[Tenure]]&lt;=1),"0-1",AND(Table1[[#This Row],[Tenure]]&gt;1,Table1[[#This Row],[Tenure]]&lt;=3),"1-3",AND(Table1[[#This Row],[Tenure]]&gt;3,Table1[[#This Row],[Tenure]]&lt;=5),"3-5",AND(Table1[[#This Row],[Tenure]]&gt;5,Table1[[#This Row],[Tenure]]&lt;=8),"5-8")</f>
        <v>1-3</v>
      </c>
      <c r="T187" t="str" cm="1">
        <f t="array" ref="T187">_xlfn.IFS(AND(Table1[[#This Row],[Salary]]&gt;=180000, Table1[[#This Row],[Salary]] &lt;=500000),"Low (180k-500k)", AND(Table1[[#This Row],[Salary]]&gt;500000, Table1[[#This Row],[Salary]]&lt;=800000), "Medium (501k-800k)", AND(Table1[[#This Row],[Salary]]&gt;800000, Table1[[#This Row],[Salary]]&lt;1200000), "High (801k - 1.2m)")</f>
        <v>Low (180k-500k)</v>
      </c>
    </row>
    <row r="188" spans="1:20" x14ac:dyDescent="0.2">
      <c r="A188">
        <v>187</v>
      </c>
      <c r="B188" t="s">
        <v>47</v>
      </c>
      <c r="C188" t="s">
        <v>20</v>
      </c>
      <c r="D188">
        <v>27</v>
      </c>
      <c r="E188" t="s">
        <v>15</v>
      </c>
      <c r="F188" t="s">
        <v>27</v>
      </c>
      <c r="G188">
        <v>962496</v>
      </c>
      <c r="H188" t="s">
        <v>239</v>
      </c>
      <c r="J188" t="s">
        <v>18</v>
      </c>
      <c r="K188">
        <v>4</v>
      </c>
      <c r="L188">
        <v>33</v>
      </c>
      <c r="M188">
        <v>65</v>
      </c>
      <c r="N188">
        <f>IF(Table1[[#This Row],[Employment_Status]]="Exited",1,0)</f>
        <v>0</v>
      </c>
      <c r="O188" t="str" cm="1">
        <f t="array" ref="O188">_xlfn.IFS(AND(Table1[[#This Row],[Age]]&gt;=22,Table1[[#This Row],[Age]]&lt;=35),"22-35",AND(Table1[[#This Row],[Age]]&gt;=36,Table1[[#This Row],[Age]]&lt;=45),"36-45",AND(Table1[[#This Row],[Age]]&gt;=46,Table1[[#This Row],[Age]]&lt;=55),"46-55")</f>
        <v>22-35</v>
      </c>
      <c r="P188">
        <f>IF(Table1[[#This Row],[Employment_Status]]="active",1,0)</f>
        <v>1</v>
      </c>
      <c r="Q188">
        <v>1</v>
      </c>
      <c r="R188" s="6">
        <f ca="1">YEARFRAC(Table1[[#This Row],[Hire_Date]],IF(Table1[[#This Row],[Employment_Status]]="Exited",Table1[[#This Row],[Exit_Date]],TODAY()))</f>
        <v>6.4805555555555552</v>
      </c>
      <c r="S188" t="str" cm="1">
        <f t="array" aca="1" ref="S188" ca="1">_xlfn.IFS(AND(Table1[[#This Row],[Tenure]]&gt;=0,Table1[[#This Row],[Tenure]]&lt;=1),"0-1",AND(Table1[[#This Row],[Tenure]]&gt;1,Table1[[#This Row],[Tenure]]&lt;=3),"1-3",AND(Table1[[#This Row],[Tenure]]&gt;3,Table1[[#This Row],[Tenure]]&lt;=5),"3-5",AND(Table1[[#This Row],[Tenure]]&gt;5,Table1[[#This Row],[Tenure]]&lt;=8),"5-8")</f>
        <v>5-8</v>
      </c>
      <c r="T188" t="str" cm="1">
        <f t="array" ref="T188">_xlfn.IFS(AND(Table1[[#This Row],[Salary]]&gt;=180000, Table1[[#This Row],[Salary]] &lt;=500000),"Low (180k-500k)", AND(Table1[[#This Row],[Salary]]&gt;500000, Table1[[#This Row],[Salary]]&lt;=800000), "Medium (501k-800k)", AND(Table1[[#This Row],[Salary]]&gt;800000, Table1[[#This Row],[Salary]]&lt;1200000), "High (801k - 1.2m)")</f>
        <v>High (801k - 1.2m)</v>
      </c>
    </row>
    <row r="189" spans="1:20" x14ac:dyDescent="0.2">
      <c r="A189">
        <v>188</v>
      </c>
      <c r="B189" t="s">
        <v>33</v>
      </c>
      <c r="C189" t="s">
        <v>20</v>
      </c>
      <c r="D189">
        <v>31</v>
      </c>
      <c r="E189" t="s">
        <v>15</v>
      </c>
      <c r="F189" t="s">
        <v>27</v>
      </c>
      <c r="G189">
        <v>1032726</v>
      </c>
      <c r="H189" t="s">
        <v>240</v>
      </c>
      <c r="J189" t="s">
        <v>18</v>
      </c>
      <c r="K189">
        <v>2</v>
      </c>
      <c r="L189">
        <v>28</v>
      </c>
      <c r="M189">
        <v>78</v>
      </c>
      <c r="N189">
        <f>IF(Table1[[#This Row],[Employment_Status]]="Exited",1,0)</f>
        <v>0</v>
      </c>
      <c r="O189" t="str" cm="1">
        <f t="array" ref="O189">_xlfn.IFS(AND(Table1[[#This Row],[Age]]&gt;=22,Table1[[#This Row],[Age]]&lt;=35),"22-35",AND(Table1[[#This Row],[Age]]&gt;=36,Table1[[#This Row],[Age]]&lt;=45),"36-45",AND(Table1[[#This Row],[Age]]&gt;=46,Table1[[#This Row],[Age]]&lt;=55),"46-55")</f>
        <v>22-35</v>
      </c>
      <c r="P189">
        <f>IF(Table1[[#This Row],[Employment_Status]]="active",1,0)</f>
        <v>1</v>
      </c>
      <c r="Q189">
        <v>1</v>
      </c>
      <c r="R189" s="6">
        <f ca="1">YEARFRAC(Table1[[#This Row],[Hire_Date]],IF(Table1[[#This Row],[Employment_Status]]="Exited",Table1[[#This Row],[Exit_Date]],TODAY()))</f>
        <v>4.9000000000000004</v>
      </c>
      <c r="S189" t="str" cm="1">
        <f t="array" aca="1" ref="S189" ca="1">_xlfn.IFS(AND(Table1[[#This Row],[Tenure]]&gt;=0,Table1[[#This Row],[Tenure]]&lt;=1),"0-1",AND(Table1[[#This Row],[Tenure]]&gt;1,Table1[[#This Row],[Tenure]]&lt;=3),"1-3",AND(Table1[[#This Row],[Tenure]]&gt;3,Table1[[#This Row],[Tenure]]&lt;=5),"3-5",AND(Table1[[#This Row],[Tenure]]&gt;5,Table1[[#This Row],[Tenure]]&lt;=8),"5-8")</f>
        <v>3-5</v>
      </c>
      <c r="T189" t="str" cm="1">
        <f t="array" ref="T189">_xlfn.IFS(AND(Table1[[#This Row],[Salary]]&gt;=180000, Table1[[#This Row],[Salary]] &lt;=500000),"Low (180k-500k)", AND(Table1[[#This Row],[Salary]]&gt;500000, Table1[[#This Row],[Salary]]&lt;=800000), "Medium (501k-800k)", AND(Table1[[#This Row],[Salary]]&gt;800000, Table1[[#This Row],[Salary]]&lt;1200000), "High (801k - 1.2m)")</f>
        <v>High (801k - 1.2m)</v>
      </c>
    </row>
    <row r="190" spans="1:20" x14ac:dyDescent="0.2">
      <c r="A190">
        <v>189</v>
      </c>
      <c r="B190" t="s">
        <v>47</v>
      </c>
      <c r="C190" t="s">
        <v>14</v>
      </c>
      <c r="D190">
        <v>32</v>
      </c>
      <c r="E190" t="s">
        <v>21</v>
      </c>
      <c r="F190" t="s">
        <v>27</v>
      </c>
      <c r="G190">
        <v>637671</v>
      </c>
      <c r="H190" t="s">
        <v>241</v>
      </c>
      <c r="I190" t="s">
        <v>242</v>
      </c>
      <c r="J190" t="s">
        <v>55</v>
      </c>
      <c r="K190">
        <v>1</v>
      </c>
      <c r="L190">
        <v>22</v>
      </c>
      <c r="M190">
        <v>72</v>
      </c>
      <c r="N190">
        <f>IF(Table1[[#This Row],[Employment_Status]]="Exited",1,0)</f>
        <v>1</v>
      </c>
      <c r="O190" t="str" cm="1">
        <f t="array" ref="O190">_xlfn.IFS(AND(Table1[[#This Row],[Age]]&gt;=22,Table1[[#This Row],[Age]]&lt;=35),"22-35",AND(Table1[[#This Row],[Age]]&gt;=36,Table1[[#This Row],[Age]]&lt;=45),"36-45",AND(Table1[[#This Row],[Age]]&gt;=46,Table1[[#This Row],[Age]]&lt;=55),"46-55")</f>
        <v>22-35</v>
      </c>
      <c r="P190">
        <f>IF(Table1[[#This Row],[Employment_Status]]="active",1,0)</f>
        <v>0</v>
      </c>
      <c r="Q190">
        <v>1</v>
      </c>
      <c r="R190" s="6">
        <f ca="1">YEARFRAC(Table1[[#This Row],[Hire_Date]],IF(Table1[[#This Row],[Employment_Status]]="Exited",Table1[[#This Row],[Exit_Date]],TODAY()))</f>
        <v>0.55277777777777781</v>
      </c>
      <c r="S190" t="str" cm="1">
        <f t="array" aca="1" ref="S190" ca="1">_xlfn.IFS(AND(Table1[[#This Row],[Tenure]]&gt;=0,Table1[[#This Row],[Tenure]]&lt;=1),"0-1",AND(Table1[[#This Row],[Tenure]]&gt;1,Table1[[#This Row],[Tenure]]&lt;=3),"1-3",AND(Table1[[#This Row],[Tenure]]&gt;3,Table1[[#This Row],[Tenure]]&lt;=5),"3-5",AND(Table1[[#This Row],[Tenure]]&gt;5,Table1[[#This Row],[Tenure]]&lt;=8),"5-8")</f>
        <v>0-1</v>
      </c>
      <c r="T190" t="str" cm="1">
        <f t="array" ref="T190">_xlfn.IFS(AND(Table1[[#This Row],[Salary]]&gt;=180000, Table1[[#This Row],[Salary]] &lt;=500000),"Low (180k-500k)", AND(Table1[[#This Row],[Salary]]&gt;500000, Table1[[#This Row],[Salary]]&lt;=800000), "Medium (501k-800k)", AND(Table1[[#This Row],[Salary]]&gt;800000, Table1[[#This Row],[Salary]]&lt;1200000), "High (801k - 1.2m)")</f>
        <v>Medium (501k-800k)</v>
      </c>
    </row>
    <row r="191" spans="1:20" x14ac:dyDescent="0.2">
      <c r="A191">
        <v>190</v>
      </c>
      <c r="B191" t="s">
        <v>24</v>
      </c>
      <c r="C191" t="s">
        <v>14</v>
      </c>
      <c r="D191">
        <v>29</v>
      </c>
      <c r="E191" t="s">
        <v>45</v>
      </c>
      <c r="F191" t="s">
        <v>22</v>
      </c>
      <c r="G191">
        <v>437248</v>
      </c>
      <c r="H191" t="s">
        <v>243</v>
      </c>
      <c r="J191" t="s">
        <v>18</v>
      </c>
      <c r="K191">
        <v>3</v>
      </c>
      <c r="L191">
        <v>31</v>
      </c>
      <c r="M191">
        <v>91</v>
      </c>
      <c r="N191">
        <f>IF(Table1[[#This Row],[Employment_Status]]="Exited",1,0)</f>
        <v>0</v>
      </c>
      <c r="O191" t="str" cm="1">
        <f t="array" ref="O191">_xlfn.IFS(AND(Table1[[#This Row],[Age]]&gt;=22,Table1[[#This Row],[Age]]&lt;=35),"22-35",AND(Table1[[#This Row],[Age]]&gt;=36,Table1[[#This Row],[Age]]&lt;=45),"36-45",AND(Table1[[#This Row],[Age]]&gt;=46,Table1[[#This Row],[Age]]&lt;=55),"46-55")</f>
        <v>22-35</v>
      </c>
      <c r="P191">
        <f>IF(Table1[[#This Row],[Employment_Status]]="active",1,0)</f>
        <v>1</v>
      </c>
      <c r="Q191">
        <v>1</v>
      </c>
      <c r="R191" s="6">
        <f ca="1">YEARFRAC(Table1[[#This Row],[Hire_Date]],IF(Table1[[#This Row],[Employment_Status]]="Exited",Table1[[#This Row],[Exit_Date]],TODAY()))</f>
        <v>2.9750000000000001</v>
      </c>
      <c r="S191" t="str" cm="1">
        <f t="array" aca="1" ref="S191" ca="1">_xlfn.IFS(AND(Table1[[#This Row],[Tenure]]&gt;=0,Table1[[#This Row],[Tenure]]&lt;=1),"0-1",AND(Table1[[#This Row],[Tenure]]&gt;1,Table1[[#This Row],[Tenure]]&lt;=3),"1-3",AND(Table1[[#This Row],[Tenure]]&gt;3,Table1[[#This Row],[Tenure]]&lt;=5),"3-5",AND(Table1[[#This Row],[Tenure]]&gt;5,Table1[[#This Row],[Tenure]]&lt;=8),"5-8")</f>
        <v>1-3</v>
      </c>
      <c r="T191" t="str" cm="1">
        <f t="array" ref="T191">_xlfn.IFS(AND(Table1[[#This Row],[Salary]]&gt;=180000, Table1[[#This Row],[Salary]] &lt;=500000),"Low (180k-500k)", AND(Table1[[#This Row],[Salary]]&gt;500000, Table1[[#This Row],[Salary]]&lt;=800000), "Medium (501k-800k)", AND(Table1[[#This Row],[Salary]]&gt;800000, Table1[[#This Row],[Salary]]&lt;1200000), "High (801k - 1.2m)")</f>
        <v>Low (180k-500k)</v>
      </c>
    </row>
    <row r="192" spans="1:20" x14ac:dyDescent="0.2">
      <c r="A192">
        <v>191</v>
      </c>
      <c r="B192" t="s">
        <v>40</v>
      </c>
      <c r="C192" t="s">
        <v>14</v>
      </c>
      <c r="D192">
        <v>24</v>
      </c>
      <c r="E192" t="s">
        <v>15</v>
      </c>
      <c r="F192" t="s">
        <v>34</v>
      </c>
      <c r="G192">
        <v>1141034</v>
      </c>
      <c r="H192" t="s">
        <v>244</v>
      </c>
      <c r="J192" t="s">
        <v>18</v>
      </c>
      <c r="K192">
        <v>3</v>
      </c>
      <c r="L192">
        <v>0</v>
      </c>
      <c r="M192">
        <v>74</v>
      </c>
      <c r="N192">
        <f>IF(Table1[[#This Row],[Employment_Status]]="Exited",1,0)</f>
        <v>0</v>
      </c>
      <c r="O192" t="str" cm="1">
        <f t="array" ref="O192">_xlfn.IFS(AND(Table1[[#This Row],[Age]]&gt;=22,Table1[[#This Row],[Age]]&lt;=35),"22-35",AND(Table1[[#This Row],[Age]]&gt;=36,Table1[[#This Row],[Age]]&lt;=45),"36-45",AND(Table1[[#This Row],[Age]]&gt;=46,Table1[[#This Row],[Age]]&lt;=55),"46-55")</f>
        <v>22-35</v>
      </c>
      <c r="P192">
        <f>IF(Table1[[#This Row],[Employment_Status]]="active",1,0)</f>
        <v>1</v>
      </c>
      <c r="Q192">
        <v>1</v>
      </c>
      <c r="R192" s="6">
        <f ca="1">YEARFRAC(Table1[[#This Row],[Hire_Date]],IF(Table1[[#This Row],[Employment_Status]]="Exited",Table1[[#This Row],[Exit_Date]],TODAY()))</f>
        <v>5.541666666666667</v>
      </c>
      <c r="S192" t="str" cm="1">
        <f t="array" aca="1" ref="S192" ca="1">_xlfn.IFS(AND(Table1[[#This Row],[Tenure]]&gt;=0,Table1[[#This Row],[Tenure]]&lt;=1),"0-1",AND(Table1[[#This Row],[Tenure]]&gt;1,Table1[[#This Row],[Tenure]]&lt;=3),"1-3",AND(Table1[[#This Row],[Tenure]]&gt;3,Table1[[#This Row],[Tenure]]&lt;=5),"3-5",AND(Table1[[#This Row],[Tenure]]&gt;5,Table1[[#This Row],[Tenure]]&lt;=8),"5-8")</f>
        <v>5-8</v>
      </c>
      <c r="T192" t="str" cm="1">
        <f t="array" ref="T192">_xlfn.IFS(AND(Table1[[#This Row],[Salary]]&gt;=180000, Table1[[#This Row],[Salary]] &lt;=500000),"Low (180k-500k)", AND(Table1[[#This Row],[Salary]]&gt;500000, Table1[[#This Row],[Salary]]&lt;=800000), "Medium (501k-800k)", AND(Table1[[#This Row],[Salary]]&gt;800000, Table1[[#This Row],[Salary]]&lt;1200000), "High (801k - 1.2m)")</f>
        <v>High (801k - 1.2m)</v>
      </c>
    </row>
    <row r="193" spans="1:20" x14ac:dyDescent="0.2">
      <c r="A193">
        <v>192</v>
      </c>
      <c r="B193" t="s">
        <v>40</v>
      </c>
      <c r="C193" t="s">
        <v>14</v>
      </c>
      <c r="D193">
        <v>39</v>
      </c>
      <c r="E193" t="s">
        <v>15</v>
      </c>
      <c r="F193" t="s">
        <v>22</v>
      </c>
      <c r="G193">
        <v>519491</v>
      </c>
      <c r="H193" t="s">
        <v>69</v>
      </c>
      <c r="J193" t="s">
        <v>18</v>
      </c>
      <c r="K193">
        <v>2</v>
      </c>
      <c r="L193">
        <v>7</v>
      </c>
      <c r="M193">
        <v>83</v>
      </c>
      <c r="N193">
        <f>IF(Table1[[#This Row],[Employment_Status]]="Exited",1,0)</f>
        <v>0</v>
      </c>
      <c r="O193" t="str" cm="1">
        <f t="array" ref="O193">_xlfn.IFS(AND(Table1[[#This Row],[Age]]&gt;=22,Table1[[#This Row],[Age]]&lt;=35),"22-35",AND(Table1[[#This Row],[Age]]&gt;=36,Table1[[#This Row],[Age]]&lt;=45),"36-45",AND(Table1[[#This Row],[Age]]&gt;=46,Table1[[#This Row],[Age]]&lt;=55),"46-55")</f>
        <v>36-45</v>
      </c>
      <c r="P193">
        <f>IF(Table1[[#This Row],[Employment_Status]]="active",1,0)</f>
        <v>1</v>
      </c>
      <c r="Q193">
        <v>1</v>
      </c>
      <c r="R193" s="6">
        <f ca="1">YEARFRAC(Table1[[#This Row],[Hire_Date]],IF(Table1[[#This Row],[Employment_Status]]="Exited",Table1[[#This Row],[Exit_Date]],TODAY()))</f>
        <v>2.9583333333333335</v>
      </c>
      <c r="S193" t="str" cm="1">
        <f t="array" aca="1" ref="S193" ca="1">_xlfn.IFS(AND(Table1[[#This Row],[Tenure]]&gt;=0,Table1[[#This Row],[Tenure]]&lt;=1),"0-1",AND(Table1[[#This Row],[Tenure]]&gt;1,Table1[[#This Row],[Tenure]]&lt;=3),"1-3",AND(Table1[[#This Row],[Tenure]]&gt;3,Table1[[#This Row],[Tenure]]&lt;=5),"3-5",AND(Table1[[#This Row],[Tenure]]&gt;5,Table1[[#This Row],[Tenure]]&lt;=8),"5-8")</f>
        <v>1-3</v>
      </c>
      <c r="T193" t="str" cm="1">
        <f t="array" ref="T193">_xlfn.IFS(AND(Table1[[#This Row],[Salary]]&gt;=180000, Table1[[#This Row],[Salary]] &lt;=500000),"Low (180k-500k)", AND(Table1[[#This Row],[Salary]]&gt;500000, Table1[[#This Row],[Salary]]&lt;=800000), "Medium (501k-800k)", AND(Table1[[#This Row],[Salary]]&gt;800000, Table1[[#This Row],[Salary]]&lt;1200000), "High (801k - 1.2m)")</f>
        <v>Medium (501k-800k)</v>
      </c>
    </row>
    <row r="194" spans="1:20" x14ac:dyDescent="0.2">
      <c r="A194">
        <v>193</v>
      </c>
      <c r="B194" t="s">
        <v>19</v>
      </c>
      <c r="C194" t="s">
        <v>20</v>
      </c>
      <c r="D194">
        <v>37</v>
      </c>
      <c r="E194" t="s">
        <v>15</v>
      </c>
      <c r="F194" t="s">
        <v>27</v>
      </c>
      <c r="G194">
        <v>993585</v>
      </c>
      <c r="H194" t="s">
        <v>245</v>
      </c>
      <c r="J194" t="s">
        <v>18</v>
      </c>
      <c r="K194">
        <v>4</v>
      </c>
      <c r="L194">
        <v>39</v>
      </c>
      <c r="M194">
        <v>98</v>
      </c>
      <c r="N194">
        <f>IF(Table1[[#This Row],[Employment_Status]]="Exited",1,0)</f>
        <v>0</v>
      </c>
      <c r="O194" t="str" cm="1">
        <f t="array" ref="O194">_xlfn.IFS(AND(Table1[[#This Row],[Age]]&gt;=22,Table1[[#This Row],[Age]]&lt;=35),"22-35",AND(Table1[[#This Row],[Age]]&gt;=36,Table1[[#This Row],[Age]]&lt;=45),"36-45",AND(Table1[[#This Row],[Age]]&gt;=46,Table1[[#This Row],[Age]]&lt;=55),"46-55")</f>
        <v>36-45</v>
      </c>
      <c r="P194">
        <f>IF(Table1[[#This Row],[Employment_Status]]="active",1,0)</f>
        <v>1</v>
      </c>
      <c r="Q194">
        <v>1</v>
      </c>
      <c r="R194" s="6">
        <f ca="1">YEARFRAC(Table1[[#This Row],[Hire_Date]],IF(Table1[[#This Row],[Employment_Status]]="Exited",Table1[[#This Row],[Exit_Date]],TODAY()))</f>
        <v>5.0999999999999996</v>
      </c>
      <c r="S194" t="str" cm="1">
        <f t="array" aca="1" ref="S194" ca="1">_xlfn.IFS(AND(Table1[[#This Row],[Tenure]]&gt;=0,Table1[[#This Row],[Tenure]]&lt;=1),"0-1",AND(Table1[[#This Row],[Tenure]]&gt;1,Table1[[#This Row],[Tenure]]&lt;=3),"1-3",AND(Table1[[#This Row],[Tenure]]&gt;3,Table1[[#This Row],[Tenure]]&lt;=5),"3-5",AND(Table1[[#This Row],[Tenure]]&gt;5,Table1[[#This Row],[Tenure]]&lt;=8),"5-8")</f>
        <v>5-8</v>
      </c>
      <c r="T194" t="str" cm="1">
        <f t="array" ref="T194">_xlfn.IFS(AND(Table1[[#This Row],[Salary]]&gt;=180000, Table1[[#This Row],[Salary]] &lt;=500000),"Low (180k-500k)", AND(Table1[[#This Row],[Salary]]&gt;500000, Table1[[#This Row],[Salary]]&lt;=800000), "Medium (501k-800k)", AND(Table1[[#This Row],[Salary]]&gt;800000, Table1[[#This Row],[Salary]]&lt;1200000), "High (801k - 1.2m)")</f>
        <v>High (801k - 1.2m)</v>
      </c>
    </row>
    <row r="195" spans="1:20" x14ac:dyDescent="0.2">
      <c r="A195">
        <v>194</v>
      </c>
      <c r="B195" t="s">
        <v>36</v>
      </c>
      <c r="C195" t="s">
        <v>14</v>
      </c>
      <c r="D195">
        <v>50</v>
      </c>
      <c r="E195" t="s">
        <v>45</v>
      </c>
      <c r="F195" t="s">
        <v>16</v>
      </c>
      <c r="G195">
        <v>321850</v>
      </c>
      <c r="H195" t="s">
        <v>246</v>
      </c>
      <c r="J195" t="s">
        <v>18</v>
      </c>
      <c r="K195">
        <v>2</v>
      </c>
      <c r="L195">
        <v>12</v>
      </c>
      <c r="M195">
        <v>67</v>
      </c>
      <c r="N195">
        <f>IF(Table1[[#This Row],[Employment_Status]]="Exited",1,0)</f>
        <v>0</v>
      </c>
      <c r="O195" t="str" cm="1">
        <f t="array" ref="O195">_xlfn.IFS(AND(Table1[[#This Row],[Age]]&gt;=22,Table1[[#This Row],[Age]]&lt;=35),"22-35",AND(Table1[[#This Row],[Age]]&gt;=36,Table1[[#This Row],[Age]]&lt;=45),"36-45",AND(Table1[[#This Row],[Age]]&gt;=46,Table1[[#This Row],[Age]]&lt;=55),"46-55")</f>
        <v>46-55</v>
      </c>
      <c r="P195">
        <f>IF(Table1[[#This Row],[Employment_Status]]="active",1,0)</f>
        <v>1</v>
      </c>
      <c r="Q195">
        <v>1</v>
      </c>
      <c r="R195" s="6">
        <f ca="1">YEARFRAC(Table1[[#This Row],[Hire_Date]],IF(Table1[[#This Row],[Employment_Status]]="Exited",Table1[[#This Row],[Exit_Date]],TODAY()))</f>
        <v>2.8666666666666667</v>
      </c>
      <c r="S195" t="str" cm="1">
        <f t="array" aca="1" ref="S195" ca="1">_xlfn.IFS(AND(Table1[[#This Row],[Tenure]]&gt;=0,Table1[[#This Row],[Tenure]]&lt;=1),"0-1",AND(Table1[[#This Row],[Tenure]]&gt;1,Table1[[#This Row],[Tenure]]&lt;=3),"1-3",AND(Table1[[#This Row],[Tenure]]&gt;3,Table1[[#This Row],[Tenure]]&lt;=5),"3-5",AND(Table1[[#This Row],[Tenure]]&gt;5,Table1[[#This Row],[Tenure]]&lt;=8),"5-8")</f>
        <v>1-3</v>
      </c>
      <c r="T195" t="str" cm="1">
        <f t="array" ref="T195">_xlfn.IFS(AND(Table1[[#This Row],[Salary]]&gt;=180000, Table1[[#This Row],[Salary]] &lt;=500000),"Low (180k-500k)", AND(Table1[[#This Row],[Salary]]&gt;500000, Table1[[#This Row],[Salary]]&lt;=800000), "Medium (501k-800k)", AND(Table1[[#This Row],[Salary]]&gt;800000, Table1[[#This Row],[Salary]]&lt;1200000), "High (801k - 1.2m)")</f>
        <v>Low (180k-500k)</v>
      </c>
    </row>
    <row r="196" spans="1:20" x14ac:dyDescent="0.2">
      <c r="A196">
        <v>195</v>
      </c>
      <c r="B196" t="s">
        <v>33</v>
      </c>
      <c r="C196" t="s">
        <v>14</v>
      </c>
      <c r="D196">
        <v>53</v>
      </c>
      <c r="E196" t="s">
        <v>15</v>
      </c>
      <c r="F196" t="s">
        <v>27</v>
      </c>
      <c r="G196">
        <v>879149</v>
      </c>
      <c r="H196" t="s">
        <v>247</v>
      </c>
      <c r="J196" t="s">
        <v>18</v>
      </c>
      <c r="K196">
        <v>3</v>
      </c>
      <c r="L196">
        <v>44</v>
      </c>
      <c r="M196">
        <v>80</v>
      </c>
      <c r="N196">
        <f>IF(Table1[[#This Row],[Employment_Status]]="Exited",1,0)</f>
        <v>0</v>
      </c>
      <c r="O196" t="str" cm="1">
        <f t="array" ref="O196">_xlfn.IFS(AND(Table1[[#This Row],[Age]]&gt;=22,Table1[[#This Row],[Age]]&lt;=35),"22-35",AND(Table1[[#This Row],[Age]]&gt;=36,Table1[[#This Row],[Age]]&lt;=45),"36-45",AND(Table1[[#This Row],[Age]]&gt;=46,Table1[[#This Row],[Age]]&lt;=55),"46-55")</f>
        <v>46-55</v>
      </c>
      <c r="P196">
        <f>IF(Table1[[#This Row],[Employment_Status]]="active",1,0)</f>
        <v>1</v>
      </c>
      <c r="Q196">
        <v>1</v>
      </c>
      <c r="R196" s="6">
        <f ca="1">YEARFRAC(Table1[[#This Row],[Hire_Date]],IF(Table1[[#This Row],[Employment_Status]]="Exited",Table1[[#This Row],[Exit_Date]],TODAY()))</f>
        <v>6.0222222222222221</v>
      </c>
      <c r="S196" t="str" cm="1">
        <f t="array" aca="1" ref="S196" ca="1">_xlfn.IFS(AND(Table1[[#This Row],[Tenure]]&gt;=0,Table1[[#This Row],[Tenure]]&lt;=1),"0-1",AND(Table1[[#This Row],[Tenure]]&gt;1,Table1[[#This Row],[Tenure]]&lt;=3),"1-3",AND(Table1[[#This Row],[Tenure]]&gt;3,Table1[[#This Row],[Tenure]]&lt;=5),"3-5",AND(Table1[[#This Row],[Tenure]]&gt;5,Table1[[#This Row],[Tenure]]&lt;=8),"5-8")</f>
        <v>5-8</v>
      </c>
      <c r="T196" t="str" cm="1">
        <f t="array" ref="T196">_xlfn.IFS(AND(Table1[[#This Row],[Salary]]&gt;=180000, Table1[[#This Row],[Salary]] &lt;=500000),"Low (180k-500k)", AND(Table1[[#This Row],[Salary]]&gt;500000, Table1[[#This Row],[Salary]]&lt;=800000), "Medium (501k-800k)", AND(Table1[[#This Row],[Salary]]&gt;800000, Table1[[#This Row],[Salary]]&lt;1200000), "High (801k - 1.2m)")</f>
        <v>High (801k - 1.2m)</v>
      </c>
    </row>
    <row r="197" spans="1:20" x14ac:dyDescent="0.2">
      <c r="A197">
        <v>196</v>
      </c>
      <c r="B197" t="s">
        <v>26</v>
      </c>
      <c r="C197" t="s">
        <v>20</v>
      </c>
      <c r="D197">
        <v>31</v>
      </c>
      <c r="E197" t="s">
        <v>15</v>
      </c>
      <c r="F197" t="s">
        <v>22</v>
      </c>
      <c r="G197">
        <v>701656</v>
      </c>
      <c r="H197" t="s">
        <v>248</v>
      </c>
      <c r="J197" t="s">
        <v>18</v>
      </c>
      <c r="K197">
        <v>4</v>
      </c>
      <c r="L197">
        <v>46</v>
      </c>
      <c r="M197">
        <v>66</v>
      </c>
      <c r="N197">
        <f>IF(Table1[[#This Row],[Employment_Status]]="Exited",1,0)</f>
        <v>0</v>
      </c>
      <c r="O197" t="str" cm="1">
        <f t="array" ref="O197">_xlfn.IFS(AND(Table1[[#This Row],[Age]]&gt;=22,Table1[[#This Row],[Age]]&lt;=35),"22-35",AND(Table1[[#This Row],[Age]]&gt;=36,Table1[[#This Row],[Age]]&lt;=45),"36-45",AND(Table1[[#This Row],[Age]]&gt;=46,Table1[[#This Row],[Age]]&lt;=55),"46-55")</f>
        <v>22-35</v>
      </c>
      <c r="P197">
        <f>IF(Table1[[#This Row],[Employment_Status]]="active",1,0)</f>
        <v>1</v>
      </c>
      <c r="Q197">
        <v>1</v>
      </c>
      <c r="R197" s="6">
        <f ca="1">YEARFRAC(Table1[[#This Row],[Hire_Date]],IF(Table1[[#This Row],[Employment_Status]]="Exited",Table1[[#This Row],[Exit_Date]],TODAY()))</f>
        <v>6.0972222222222223</v>
      </c>
      <c r="S197" t="str" cm="1">
        <f t="array" aca="1" ref="S197" ca="1">_xlfn.IFS(AND(Table1[[#This Row],[Tenure]]&gt;=0,Table1[[#This Row],[Tenure]]&lt;=1),"0-1",AND(Table1[[#This Row],[Tenure]]&gt;1,Table1[[#This Row],[Tenure]]&lt;=3),"1-3",AND(Table1[[#This Row],[Tenure]]&gt;3,Table1[[#This Row],[Tenure]]&lt;=5),"3-5",AND(Table1[[#This Row],[Tenure]]&gt;5,Table1[[#This Row],[Tenure]]&lt;=8),"5-8")</f>
        <v>5-8</v>
      </c>
      <c r="T197" t="str" cm="1">
        <f t="array" ref="T197">_xlfn.IFS(AND(Table1[[#This Row],[Salary]]&gt;=180000, Table1[[#This Row],[Salary]] &lt;=500000),"Low (180k-500k)", AND(Table1[[#This Row],[Salary]]&gt;500000, Table1[[#This Row],[Salary]]&lt;=800000), "Medium (501k-800k)", AND(Table1[[#This Row],[Salary]]&gt;800000, Table1[[#This Row],[Salary]]&lt;1200000), "High (801k - 1.2m)")</f>
        <v>Medium (501k-800k)</v>
      </c>
    </row>
    <row r="198" spans="1:20" x14ac:dyDescent="0.2">
      <c r="A198">
        <v>197</v>
      </c>
      <c r="B198" t="s">
        <v>26</v>
      </c>
      <c r="C198" t="s">
        <v>14</v>
      </c>
      <c r="D198">
        <v>44</v>
      </c>
      <c r="E198" t="s">
        <v>15</v>
      </c>
      <c r="F198" t="s">
        <v>16</v>
      </c>
      <c r="G198">
        <v>1179830</v>
      </c>
      <c r="H198" t="s">
        <v>249</v>
      </c>
      <c r="J198" t="s">
        <v>18</v>
      </c>
      <c r="K198">
        <v>2</v>
      </c>
      <c r="L198">
        <v>5</v>
      </c>
      <c r="M198">
        <v>95</v>
      </c>
      <c r="N198">
        <f>IF(Table1[[#This Row],[Employment_Status]]="Exited",1,0)</f>
        <v>0</v>
      </c>
      <c r="O198" t="str" cm="1">
        <f t="array" ref="O198">_xlfn.IFS(AND(Table1[[#This Row],[Age]]&gt;=22,Table1[[#This Row],[Age]]&lt;=35),"22-35",AND(Table1[[#This Row],[Age]]&gt;=36,Table1[[#This Row],[Age]]&lt;=45),"36-45",AND(Table1[[#This Row],[Age]]&gt;=46,Table1[[#This Row],[Age]]&lt;=55),"46-55")</f>
        <v>36-45</v>
      </c>
      <c r="P198">
        <f>IF(Table1[[#This Row],[Employment_Status]]="active",1,0)</f>
        <v>1</v>
      </c>
      <c r="Q198">
        <v>1</v>
      </c>
      <c r="R198" s="6">
        <f ca="1">YEARFRAC(Table1[[#This Row],[Hire_Date]],IF(Table1[[#This Row],[Employment_Status]]="Exited",Table1[[#This Row],[Exit_Date]],TODAY()))</f>
        <v>6.0111111111111111</v>
      </c>
      <c r="S198" t="str" cm="1">
        <f t="array" aca="1" ref="S198" ca="1">_xlfn.IFS(AND(Table1[[#This Row],[Tenure]]&gt;=0,Table1[[#This Row],[Tenure]]&lt;=1),"0-1",AND(Table1[[#This Row],[Tenure]]&gt;1,Table1[[#This Row],[Tenure]]&lt;=3),"1-3",AND(Table1[[#This Row],[Tenure]]&gt;3,Table1[[#This Row],[Tenure]]&lt;=5),"3-5",AND(Table1[[#This Row],[Tenure]]&gt;5,Table1[[#This Row],[Tenure]]&lt;=8),"5-8")</f>
        <v>5-8</v>
      </c>
      <c r="T198" t="str" cm="1">
        <f t="array" ref="T198">_xlfn.IFS(AND(Table1[[#This Row],[Salary]]&gt;=180000, Table1[[#This Row],[Salary]] &lt;=500000),"Low (180k-500k)", AND(Table1[[#This Row],[Salary]]&gt;500000, Table1[[#This Row],[Salary]]&lt;=800000), "Medium (501k-800k)", AND(Table1[[#This Row],[Salary]]&gt;800000, Table1[[#This Row],[Salary]]&lt;1200000), "High (801k - 1.2m)")</f>
        <v>High (801k - 1.2m)</v>
      </c>
    </row>
    <row r="199" spans="1:20" x14ac:dyDescent="0.2">
      <c r="A199">
        <v>198</v>
      </c>
      <c r="B199" t="s">
        <v>33</v>
      </c>
      <c r="C199" t="s">
        <v>14</v>
      </c>
      <c r="D199">
        <v>50</v>
      </c>
      <c r="E199" t="s">
        <v>15</v>
      </c>
      <c r="F199" t="s">
        <v>16</v>
      </c>
      <c r="G199">
        <v>619249</v>
      </c>
      <c r="H199" t="s">
        <v>250</v>
      </c>
      <c r="J199" t="s">
        <v>18</v>
      </c>
      <c r="K199">
        <v>4</v>
      </c>
      <c r="L199">
        <v>46</v>
      </c>
      <c r="M199">
        <v>77</v>
      </c>
      <c r="N199">
        <f>IF(Table1[[#This Row],[Employment_Status]]="Exited",1,0)</f>
        <v>0</v>
      </c>
      <c r="O199" t="str" cm="1">
        <f t="array" ref="O199">_xlfn.IFS(AND(Table1[[#This Row],[Age]]&gt;=22,Table1[[#This Row],[Age]]&lt;=35),"22-35",AND(Table1[[#This Row],[Age]]&gt;=36,Table1[[#This Row],[Age]]&lt;=45),"36-45",AND(Table1[[#This Row],[Age]]&gt;=46,Table1[[#This Row],[Age]]&lt;=55),"46-55")</f>
        <v>46-55</v>
      </c>
      <c r="P199">
        <f>IF(Table1[[#This Row],[Employment_Status]]="active",1,0)</f>
        <v>1</v>
      </c>
      <c r="Q199">
        <v>1</v>
      </c>
      <c r="R199" s="6">
        <f ca="1">YEARFRAC(Table1[[#This Row],[Hire_Date]],IF(Table1[[#This Row],[Employment_Status]]="Exited",Table1[[#This Row],[Exit_Date]],TODAY()))</f>
        <v>5.7277777777777779</v>
      </c>
      <c r="S199" t="str" cm="1">
        <f t="array" aca="1" ref="S199" ca="1">_xlfn.IFS(AND(Table1[[#This Row],[Tenure]]&gt;=0,Table1[[#This Row],[Tenure]]&lt;=1),"0-1",AND(Table1[[#This Row],[Tenure]]&gt;1,Table1[[#This Row],[Tenure]]&lt;=3),"1-3",AND(Table1[[#This Row],[Tenure]]&gt;3,Table1[[#This Row],[Tenure]]&lt;=5),"3-5",AND(Table1[[#This Row],[Tenure]]&gt;5,Table1[[#This Row],[Tenure]]&lt;=8),"5-8")</f>
        <v>5-8</v>
      </c>
      <c r="T199" t="str" cm="1">
        <f t="array" ref="T199">_xlfn.IFS(AND(Table1[[#This Row],[Salary]]&gt;=180000, Table1[[#This Row],[Salary]] &lt;=500000),"Low (180k-500k)", AND(Table1[[#This Row],[Salary]]&gt;500000, Table1[[#This Row],[Salary]]&lt;=800000), "Medium (501k-800k)", AND(Table1[[#This Row],[Salary]]&gt;800000, Table1[[#This Row],[Salary]]&lt;1200000), "High (801k - 1.2m)")</f>
        <v>Medium (501k-800k)</v>
      </c>
    </row>
    <row r="200" spans="1:20" x14ac:dyDescent="0.2">
      <c r="A200">
        <v>199</v>
      </c>
      <c r="B200" t="s">
        <v>40</v>
      </c>
      <c r="C200" t="s">
        <v>14</v>
      </c>
      <c r="D200">
        <v>49</v>
      </c>
      <c r="E200" t="s">
        <v>49</v>
      </c>
      <c r="F200" t="s">
        <v>34</v>
      </c>
      <c r="G200">
        <v>312392</v>
      </c>
      <c r="H200" t="s">
        <v>251</v>
      </c>
      <c r="J200" t="s">
        <v>18</v>
      </c>
      <c r="K200">
        <v>3</v>
      </c>
      <c r="L200">
        <v>4</v>
      </c>
      <c r="M200">
        <v>100</v>
      </c>
      <c r="N200">
        <f>IF(Table1[[#This Row],[Employment_Status]]="Exited",1,0)</f>
        <v>0</v>
      </c>
      <c r="O200" t="str" cm="1">
        <f t="array" ref="O200">_xlfn.IFS(AND(Table1[[#This Row],[Age]]&gt;=22,Table1[[#This Row],[Age]]&lt;=35),"22-35",AND(Table1[[#This Row],[Age]]&gt;=36,Table1[[#This Row],[Age]]&lt;=45),"36-45",AND(Table1[[#This Row],[Age]]&gt;=46,Table1[[#This Row],[Age]]&lt;=55),"46-55")</f>
        <v>46-55</v>
      </c>
      <c r="P200">
        <f>IF(Table1[[#This Row],[Employment_Status]]="active",1,0)</f>
        <v>1</v>
      </c>
      <c r="Q200">
        <v>1</v>
      </c>
      <c r="R200" s="6">
        <f ca="1">YEARFRAC(Table1[[#This Row],[Hire_Date]],IF(Table1[[#This Row],[Employment_Status]]="Exited",Table1[[#This Row],[Exit_Date]],TODAY()))</f>
        <v>3.1916666666666669</v>
      </c>
      <c r="S200" t="str" cm="1">
        <f t="array" aca="1" ref="S200" ca="1">_xlfn.IFS(AND(Table1[[#This Row],[Tenure]]&gt;=0,Table1[[#This Row],[Tenure]]&lt;=1),"0-1",AND(Table1[[#This Row],[Tenure]]&gt;1,Table1[[#This Row],[Tenure]]&lt;=3),"1-3",AND(Table1[[#This Row],[Tenure]]&gt;3,Table1[[#This Row],[Tenure]]&lt;=5),"3-5",AND(Table1[[#This Row],[Tenure]]&gt;5,Table1[[#This Row],[Tenure]]&lt;=8),"5-8")</f>
        <v>3-5</v>
      </c>
      <c r="T200" t="str" cm="1">
        <f t="array" ref="T200">_xlfn.IFS(AND(Table1[[#This Row],[Salary]]&gt;=180000, Table1[[#This Row],[Salary]] &lt;=500000),"Low (180k-500k)", AND(Table1[[#This Row],[Salary]]&gt;500000, Table1[[#This Row],[Salary]]&lt;=800000), "Medium (501k-800k)", AND(Table1[[#This Row],[Salary]]&gt;800000, Table1[[#This Row],[Salary]]&lt;1200000), "High (801k - 1.2m)")</f>
        <v>Low (180k-500k)</v>
      </c>
    </row>
    <row r="201" spans="1:20" x14ac:dyDescent="0.2">
      <c r="A201">
        <v>200</v>
      </c>
      <c r="B201" t="s">
        <v>75</v>
      </c>
      <c r="C201" t="s">
        <v>20</v>
      </c>
      <c r="D201">
        <v>44</v>
      </c>
      <c r="E201" t="s">
        <v>15</v>
      </c>
      <c r="F201" t="s">
        <v>16</v>
      </c>
      <c r="G201">
        <v>677618</v>
      </c>
      <c r="H201" t="s">
        <v>252</v>
      </c>
      <c r="J201" t="s">
        <v>18</v>
      </c>
      <c r="K201">
        <v>1</v>
      </c>
      <c r="L201">
        <v>9</v>
      </c>
      <c r="M201">
        <v>95</v>
      </c>
      <c r="N201">
        <f>IF(Table1[[#This Row],[Employment_Status]]="Exited",1,0)</f>
        <v>0</v>
      </c>
      <c r="O201" t="str" cm="1">
        <f t="array" ref="O201">_xlfn.IFS(AND(Table1[[#This Row],[Age]]&gt;=22,Table1[[#This Row],[Age]]&lt;=35),"22-35",AND(Table1[[#This Row],[Age]]&gt;=36,Table1[[#This Row],[Age]]&lt;=45),"36-45",AND(Table1[[#This Row],[Age]]&gt;=46,Table1[[#This Row],[Age]]&lt;=55),"46-55")</f>
        <v>36-45</v>
      </c>
      <c r="P201">
        <f>IF(Table1[[#This Row],[Employment_Status]]="active",1,0)</f>
        <v>1</v>
      </c>
      <c r="Q201">
        <v>1</v>
      </c>
      <c r="R201" s="6">
        <f ca="1">YEARFRAC(Table1[[#This Row],[Hire_Date]],IF(Table1[[#This Row],[Employment_Status]]="Exited",Table1[[#This Row],[Exit_Date]],TODAY()))</f>
        <v>2.5277777777777777</v>
      </c>
      <c r="S201" t="str" cm="1">
        <f t="array" aca="1" ref="S201" ca="1">_xlfn.IFS(AND(Table1[[#This Row],[Tenure]]&gt;=0,Table1[[#This Row],[Tenure]]&lt;=1),"0-1",AND(Table1[[#This Row],[Tenure]]&gt;1,Table1[[#This Row],[Tenure]]&lt;=3),"1-3",AND(Table1[[#This Row],[Tenure]]&gt;3,Table1[[#This Row],[Tenure]]&lt;=5),"3-5",AND(Table1[[#This Row],[Tenure]]&gt;5,Table1[[#This Row],[Tenure]]&lt;=8),"5-8")</f>
        <v>1-3</v>
      </c>
      <c r="T201" t="str" cm="1">
        <f t="array" ref="T201">_xlfn.IFS(AND(Table1[[#This Row],[Salary]]&gt;=180000, Table1[[#This Row],[Salary]] &lt;=500000),"Low (180k-500k)", AND(Table1[[#This Row],[Salary]]&gt;500000, Table1[[#This Row],[Salary]]&lt;=800000), "Medium (501k-800k)", AND(Table1[[#This Row],[Salary]]&gt;800000, Table1[[#This Row],[Salary]]&lt;1200000), "High (801k - 1.2m)")</f>
        <v>Medium (501k-800k)</v>
      </c>
    </row>
    <row r="202" spans="1:20" x14ac:dyDescent="0.2">
      <c r="A202">
        <v>201</v>
      </c>
      <c r="B202" t="s">
        <v>36</v>
      </c>
      <c r="C202" t="s">
        <v>20</v>
      </c>
      <c r="D202">
        <v>42</v>
      </c>
      <c r="E202" t="s">
        <v>15</v>
      </c>
      <c r="F202" t="s">
        <v>16</v>
      </c>
      <c r="G202">
        <v>477512</v>
      </c>
      <c r="H202" t="s">
        <v>253</v>
      </c>
      <c r="J202" t="s">
        <v>18</v>
      </c>
      <c r="K202">
        <v>4</v>
      </c>
      <c r="L202">
        <v>11</v>
      </c>
      <c r="M202">
        <v>90</v>
      </c>
      <c r="N202">
        <f>IF(Table1[[#This Row],[Employment_Status]]="Exited",1,0)</f>
        <v>0</v>
      </c>
      <c r="O202" t="str" cm="1">
        <f t="array" ref="O202">_xlfn.IFS(AND(Table1[[#This Row],[Age]]&gt;=22,Table1[[#This Row],[Age]]&lt;=35),"22-35",AND(Table1[[#This Row],[Age]]&gt;=36,Table1[[#This Row],[Age]]&lt;=45),"36-45",AND(Table1[[#This Row],[Age]]&gt;=46,Table1[[#This Row],[Age]]&lt;=55),"46-55")</f>
        <v>36-45</v>
      </c>
      <c r="P202">
        <f>IF(Table1[[#This Row],[Employment_Status]]="active",1,0)</f>
        <v>1</v>
      </c>
      <c r="Q202">
        <v>1</v>
      </c>
      <c r="R202" s="6">
        <f ca="1">YEARFRAC(Table1[[#This Row],[Hire_Date]],IF(Table1[[#This Row],[Employment_Status]]="Exited",Table1[[#This Row],[Exit_Date]],TODAY()))</f>
        <v>3.8861111111111111</v>
      </c>
      <c r="S202" t="str" cm="1">
        <f t="array" aca="1" ref="S202" ca="1">_xlfn.IFS(AND(Table1[[#This Row],[Tenure]]&gt;=0,Table1[[#This Row],[Tenure]]&lt;=1),"0-1",AND(Table1[[#This Row],[Tenure]]&gt;1,Table1[[#This Row],[Tenure]]&lt;=3),"1-3",AND(Table1[[#This Row],[Tenure]]&gt;3,Table1[[#This Row],[Tenure]]&lt;=5),"3-5",AND(Table1[[#This Row],[Tenure]]&gt;5,Table1[[#This Row],[Tenure]]&lt;=8),"5-8")</f>
        <v>3-5</v>
      </c>
      <c r="T202" t="str" cm="1">
        <f t="array" ref="T202">_xlfn.IFS(AND(Table1[[#This Row],[Salary]]&gt;=180000, Table1[[#This Row],[Salary]] &lt;=500000),"Low (180k-500k)", AND(Table1[[#This Row],[Salary]]&gt;500000, Table1[[#This Row],[Salary]]&lt;=800000), "Medium (501k-800k)", AND(Table1[[#This Row],[Salary]]&gt;800000, Table1[[#This Row],[Salary]]&lt;1200000), "High (801k - 1.2m)")</f>
        <v>Low (180k-500k)</v>
      </c>
    </row>
    <row r="203" spans="1:20" x14ac:dyDescent="0.2">
      <c r="A203">
        <v>202</v>
      </c>
      <c r="B203" t="s">
        <v>13</v>
      </c>
      <c r="C203" t="s">
        <v>14</v>
      </c>
      <c r="D203">
        <v>53</v>
      </c>
      <c r="E203" t="s">
        <v>15</v>
      </c>
      <c r="F203" t="s">
        <v>22</v>
      </c>
      <c r="G203">
        <v>1030777</v>
      </c>
      <c r="H203" t="s">
        <v>254</v>
      </c>
      <c r="J203" t="s">
        <v>18</v>
      </c>
      <c r="K203">
        <v>3</v>
      </c>
      <c r="L203">
        <v>28</v>
      </c>
      <c r="M203">
        <v>86</v>
      </c>
      <c r="N203">
        <f>IF(Table1[[#This Row],[Employment_Status]]="Exited",1,0)</f>
        <v>0</v>
      </c>
      <c r="O203" t="str" cm="1">
        <f t="array" ref="O203">_xlfn.IFS(AND(Table1[[#This Row],[Age]]&gt;=22,Table1[[#This Row],[Age]]&lt;=35),"22-35",AND(Table1[[#This Row],[Age]]&gt;=36,Table1[[#This Row],[Age]]&lt;=45),"36-45",AND(Table1[[#This Row],[Age]]&gt;=46,Table1[[#This Row],[Age]]&lt;=55),"46-55")</f>
        <v>46-55</v>
      </c>
      <c r="P203">
        <f>IF(Table1[[#This Row],[Employment_Status]]="active",1,0)</f>
        <v>1</v>
      </c>
      <c r="Q203">
        <v>1</v>
      </c>
      <c r="R203" s="6">
        <f ca="1">YEARFRAC(Table1[[#This Row],[Hire_Date]],IF(Table1[[#This Row],[Employment_Status]]="Exited",Table1[[#This Row],[Exit_Date]],TODAY()))</f>
        <v>5.1833333333333336</v>
      </c>
      <c r="S203" t="str" cm="1">
        <f t="array" aca="1" ref="S203" ca="1">_xlfn.IFS(AND(Table1[[#This Row],[Tenure]]&gt;=0,Table1[[#This Row],[Tenure]]&lt;=1),"0-1",AND(Table1[[#This Row],[Tenure]]&gt;1,Table1[[#This Row],[Tenure]]&lt;=3),"1-3",AND(Table1[[#This Row],[Tenure]]&gt;3,Table1[[#This Row],[Tenure]]&lt;=5),"3-5",AND(Table1[[#This Row],[Tenure]]&gt;5,Table1[[#This Row],[Tenure]]&lt;=8),"5-8")</f>
        <v>5-8</v>
      </c>
      <c r="T203" t="str" cm="1">
        <f t="array" ref="T203">_xlfn.IFS(AND(Table1[[#This Row],[Salary]]&gt;=180000, Table1[[#This Row],[Salary]] &lt;=500000),"Low (180k-500k)", AND(Table1[[#This Row],[Salary]]&gt;500000, Table1[[#This Row],[Salary]]&lt;=800000), "Medium (501k-800k)", AND(Table1[[#This Row],[Salary]]&gt;800000, Table1[[#This Row],[Salary]]&lt;1200000), "High (801k - 1.2m)")</f>
        <v>High (801k - 1.2m)</v>
      </c>
    </row>
    <row r="204" spans="1:20" x14ac:dyDescent="0.2">
      <c r="A204">
        <v>203</v>
      </c>
      <c r="B204" t="s">
        <v>33</v>
      </c>
      <c r="C204" t="s">
        <v>20</v>
      </c>
      <c r="D204">
        <v>32</v>
      </c>
      <c r="E204" t="s">
        <v>15</v>
      </c>
      <c r="F204" t="s">
        <v>22</v>
      </c>
      <c r="G204">
        <v>1115537</v>
      </c>
      <c r="H204" t="s">
        <v>255</v>
      </c>
      <c r="J204" t="s">
        <v>18</v>
      </c>
      <c r="K204">
        <v>3</v>
      </c>
      <c r="L204">
        <v>9</v>
      </c>
      <c r="M204">
        <v>68</v>
      </c>
      <c r="N204">
        <f>IF(Table1[[#This Row],[Employment_Status]]="Exited",1,0)</f>
        <v>0</v>
      </c>
      <c r="O204" t="str" cm="1">
        <f t="array" ref="O204">_xlfn.IFS(AND(Table1[[#This Row],[Age]]&gt;=22,Table1[[#This Row],[Age]]&lt;=35),"22-35",AND(Table1[[#This Row],[Age]]&gt;=36,Table1[[#This Row],[Age]]&lt;=45),"36-45",AND(Table1[[#This Row],[Age]]&gt;=46,Table1[[#This Row],[Age]]&lt;=55),"46-55")</f>
        <v>22-35</v>
      </c>
      <c r="P204">
        <f>IF(Table1[[#This Row],[Employment_Status]]="active",1,0)</f>
        <v>1</v>
      </c>
      <c r="Q204">
        <v>1</v>
      </c>
      <c r="R204" s="6">
        <f ca="1">YEARFRAC(Table1[[#This Row],[Hire_Date]],IF(Table1[[#This Row],[Employment_Status]]="Exited",Table1[[#This Row],[Exit_Date]],TODAY()))</f>
        <v>2.6583333333333332</v>
      </c>
      <c r="S204" t="str" cm="1">
        <f t="array" aca="1" ref="S204" ca="1">_xlfn.IFS(AND(Table1[[#This Row],[Tenure]]&gt;=0,Table1[[#This Row],[Tenure]]&lt;=1),"0-1",AND(Table1[[#This Row],[Tenure]]&gt;1,Table1[[#This Row],[Tenure]]&lt;=3),"1-3",AND(Table1[[#This Row],[Tenure]]&gt;3,Table1[[#This Row],[Tenure]]&lt;=5),"3-5",AND(Table1[[#This Row],[Tenure]]&gt;5,Table1[[#This Row],[Tenure]]&lt;=8),"5-8")</f>
        <v>1-3</v>
      </c>
      <c r="T204" t="str" cm="1">
        <f t="array" ref="T204">_xlfn.IFS(AND(Table1[[#This Row],[Salary]]&gt;=180000, Table1[[#This Row],[Salary]] &lt;=500000),"Low (180k-500k)", AND(Table1[[#This Row],[Salary]]&gt;500000, Table1[[#This Row],[Salary]]&lt;=800000), "Medium (501k-800k)", AND(Table1[[#This Row],[Salary]]&gt;800000, Table1[[#This Row],[Salary]]&lt;1200000), "High (801k - 1.2m)")</f>
        <v>High (801k - 1.2m)</v>
      </c>
    </row>
    <row r="205" spans="1:20" x14ac:dyDescent="0.2">
      <c r="A205">
        <v>204</v>
      </c>
      <c r="B205" t="s">
        <v>47</v>
      </c>
      <c r="C205" t="s">
        <v>14</v>
      </c>
      <c r="D205">
        <v>23</v>
      </c>
      <c r="E205" t="s">
        <v>15</v>
      </c>
      <c r="F205" t="s">
        <v>16</v>
      </c>
      <c r="G205">
        <v>970293</v>
      </c>
      <c r="H205" t="s">
        <v>256</v>
      </c>
      <c r="J205" t="s">
        <v>18</v>
      </c>
      <c r="K205">
        <v>4</v>
      </c>
      <c r="L205">
        <v>37</v>
      </c>
      <c r="M205">
        <v>91</v>
      </c>
      <c r="N205">
        <f>IF(Table1[[#This Row],[Employment_Status]]="Exited",1,0)</f>
        <v>0</v>
      </c>
      <c r="O205" t="str" cm="1">
        <f t="array" ref="O205">_xlfn.IFS(AND(Table1[[#This Row],[Age]]&gt;=22,Table1[[#This Row],[Age]]&lt;=35),"22-35",AND(Table1[[#This Row],[Age]]&gt;=36,Table1[[#This Row],[Age]]&lt;=45),"36-45",AND(Table1[[#This Row],[Age]]&gt;=46,Table1[[#This Row],[Age]]&lt;=55),"46-55")</f>
        <v>22-35</v>
      </c>
      <c r="P205">
        <f>IF(Table1[[#This Row],[Employment_Status]]="active",1,0)</f>
        <v>1</v>
      </c>
      <c r="Q205">
        <v>1</v>
      </c>
      <c r="R205" s="6">
        <f ca="1">YEARFRAC(Table1[[#This Row],[Hire_Date]],IF(Table1[[#This Row],[Employment_Status]]="Exited",Table1[[#This Row],[Exit_Date]],TODAY()))</f>
        <v>1.9694444444444446</v>
      </c>
      <c r="S205" t="str" cm="1">
        <f t="array" aca="1" ref="S205" ca="1">_xlfn.IFS(AND(Table1[[#This Row],[Tenure]]&gt;=0,Table1[[#This Row],[Tenure]]&lt;=1),"0-1",AND(Table1[[#This Row],[Tenure]]&gt;1,Table1[[#This Row],[Tenure]]&lt;=3),"1-3",AND(Table1[[#This Row],[Tenure]]&gt;3,Table1[[#This Row],[Tenure]]&lt;=5),"3-5",AND(Table1[[#This Row],[Tenure]]&gt;5,Table1[[#This Row],[Tenure]]&lt;=8),"5-8")</f>
        <v>1-3</v>
      </c>
      <c r="T205" t="str" cm="1">
        <f t="array" ref="T205">_xlfn.IFS(AND(Table1[[#This Row],[Salary]]&gt;=180000, Table1[[#This Row],[Salary]] &lt;=500000),"Low (180k-500k)", AND(Table1[[#This Row],[Salary]]&gt;500000, Table1[[#This Row],[Salary]]&lt;=800000), "Medium (501k-800k)", AND(Table1[[#This Row],[Salary]]&gt;800000, Table1[[#This Row],[Salary]]&lt;1200000), "High (801k - 1.2m)")</f>
        <v>High (801k - 1.2m)</v>
      </c>
    </row>
    <row r="206" spans="1:20" x14ac:dyDescent="0.2">
      <c r="A206">
        <v>205</v>
      </c>
      <c r="B206" t="s">
        <v>19</v>
      </c>
      <c r="C206" t="s">
        <v>20</v>
      </c>
      <c r="D206">
        <v>55</v>
      </c>
      <c r="E206" t="s">
        <v>15</v>
      </c>
      <c r="F206" t="s">
        <v>16</v>
      </c>
      <c r="G206">
        <v>478522</v>
      </c>
      <c r="H206" t="s">
        <v>257</v>
      </c>
      <c r="J206" t="s">
        <v>18</v>
      </c>
      <c r="K206">
        <v>4</v>
      </c>
      <c r="L206">
        <v>38</v>
      </c>
      <c r="M206">
        <v>74</v>
      </c>
      <c r="N206">
        <f>IF(Table1[[#This Row],[Employment_Status]]="Exited",1,0)</f>
        <v>0</v>
      </c>
      <c r="O206" t="str" cm="1">
        <f t="array" ref="O206">_xlfn.IFS(AND(Table1[[#This Row],[Age]]&gt;=22,Table1[[#This Row],[Age]]&lt;=35),"22-35",AND(Table1[[#This Row],[Age]]&gt;=36,Table1[[#This Row],[Age]]&lt;=45),"36-45",AND(Table1[[#This Row],[Age]]&gt;=46,Table1[[#This Row],[Age]]&lt;=55),"46-55")</f>
        <v>46-55</v>
      </c>
      <c r="P206">
        <f>IF(Table1[[#This Row],[Employment_Status]]="active",1,0)</f>
        <v>1</v>
      </c>
      <c r="Q206">
        <v>1</v>
      </c>
      <c r="R206" s="6">
        <f ca="1">YEARFRAC(Table1[[#This Row],[Hire_Date]],IF(Table1[[#This Row],[Employment_Status]]="Exited",Table1[[#This Row],[Exit_Date]],TODAY()))</f>
        <v>5.8527777777777779</v>
      </c>
      <c r="S206" t="str" cm="1">
        <f t="array" aca="1" ref="S206" ca="1">_xlfn.IFS(AND(Table1[[#This Row],[Tenure]]&gt;=0,Table1[[#This Row],[Tenure]]&lt;=1),"0-1",AND(Table1[[#This Row],[Tenure]]&gt;1,Table1[[#This Row],[Tenure]]&lt;=3),"1-3",AND(Table1[[#This Row],[Tenure]]&gt;3,Table1[[#This Row],[Tenure]]&lt;=5),"3-5",AND(Table1[[#This Row],[Tenure]]&gt;5,Table1[[#This Row],[Tenure]]&lt;=8),"5-8")</f>
        <v>5-8</v>
      </c>
      <c r="T206" t="str" cm="1">
        <f t="array" ref="T206">_xlfn.IFS(AND(Table1[[#This Row],[Salary]]&gt;=180000, Table1[[#This Row],[Salary]] &lt;=500000),"Low (180k-500k)", AND(Table1[[#This Row],[Salary]]&gt;500000, Table1[[#This Row],[Salary]]&lt;=800000), "Medium (501k-800k)", AND(Table1[[#This Row],[Salary]]&gt;800000, Table1[[#This Row],[Salary]]&lt;1200000), "High (801k - 1.2m)")</f>
        <v>Low (180k-500k)</v>
      </c>
    </row>
    <row r="207" spans="1:20" x14ac:dyDescent="0.2">
      <c r="A207">
        <v>206</v>
      </c>
      <c r="B207" t="s">
        <v>13</v>
      </c>
      <c r="C207" t="s">
        <v>14</v>
      </c>
      <c r="D207">
        <v>22</v>
      </c>
      <c r="E207" t="s">
        <v>15</v>
      </c>
      <c r="F207" t="s">
        <v>16</v>
      </c>
      <c r="G207">
        <v>660877</v>
      </c>
      <c r="H207" t="s">
        <v>258</v>
      </c>
      <c r="I207" t="s">
        <v>259</v>
      </c>
      <c r="J207" t="s">
        <v>55</v>
      </c>
      <c r="K207">
        <v>2</v>
      </c>
      <c r="L207">
        <v>30</v>
      </c>
      <c r="M207">
        <v>97</v>
      </c>
      <c r="N207">
        <f>IF(Table1[[#This Row],[Employment_Status]]="Exited",1,0)</f>
        <v>1</v>
      </c>
      <c r="O207" t="str" cm="1">
        <f t="array" ref="O207">_xlfn.IFS(AND(Table1[[#This Row],[Age]]&gt;=22,Table1[[#This Row],[Age]]&lt;=35),"22-35",AND(Table1[[#This Row],[Age]]&gt;=36,Table1[[#This Row],[Age]]&lt;=45),"36-45",AND(Table1[[#This Row],[Age]]&gt;=46,Table1[[#This Row],[Age]]&lt;=55),"46-55")</f>
        <v>22-35</v>
      </c>
      <c r="P207">
        <f>IF(Table1[[#This Row],[Employment_Status]]="active",1,0)</f>
        <v>0</v>
      </c>
      <c r="Q207">
        <v>1</v>
      </c>
      <c r="R207" s="6">
        <f ca="1">YEARFRAC(Table1[[#This Row],[Hire_Date]],IF(Table1[[#This Row],[Employment_Status]]="Exited",Table1[[#This Row],[Exit_Date]],TODAY()))</f>
        <v>0.83611111111111114</v>
      </c>
      <c r="S207" t="str" cm="1">
        <f t="array" aca="1" ref="S207" ca="1">_xlfn.IFS(AND(Table1[[#This Row],[Tenure]]&gt;=0,Table1[[#This Row],[Tenure]]&lt;=1),"0-1",AND(Table1[[#This Row],[Tenure]]&gt;1,Table1[[#This Row],[Tenure]]&lt;=3),"1-3",AND(Table1[[#This Row],[Tenure]]&gt;3,Table1[[#This Row],[Tenure]]&lt;=5),"3-5",AND(Table1[[#This Row],[Tenure]]&gt;5,Table1[[#This Row],[Tenure]]&lt;=8),"5-8")</f>
        <v>0-1</v>
      </c>
      <c r="T207" t="str" cm="1">
        <f t="array" ref="T207">_xlfn.IFS(AND(Table1[[#This Row],[Salary]]&gt;=180000, Table1[[#This Row],[Salary]] &lt;=500000),"Low (180k-500k)", AND(Table1[[#This Row],[Salary]]&gt;500000, Table1[[#This Row],[Salary]]&lt;=800000), "Medium (501k-800k)", AND(Table1[[#This Row],[Salary]]&gt;800000, Table1[[#This Row],[Salary]]&lt;1200000), "High (801k - 1.2m)")</f>
        <v>Medium (501k-800k)</v>
      </c>
    </row>
    <row r="208" spans="1:20" x14ac:dyDescent="0.2">
      <c r="A208">
        <v>207</v>
      </c>
      <c r="B208" t="s">
        <v>24</v>
      </c>
      <c r="C208" t="s">
        <v>20</v>
      </c>
      <c r="D208">
        <v>43</v>
      </c>
      <c r="E208" t="s">
        <v>45</v>
      </c>
      <c r="F208" t="s">
        <v>27</v>
      </c>
      <c r="G208">
        <v>346930</v>
      </c>
      <c r="H208" t="s">
        <v>260</v>
      </c>
      <c r="J208" t="s">
        <v>18</v>
      </c>
      <c r="K208">
        <v>4</v>
      </c>
      <c r="L208">
        <v>17</v>
      </c>
      <c r="M208">
        <v>72</v>
      </c>
      <c r="N208">
        <f>IF(Table1[[#This Row],[Employment_Status]]="Exited",1,0)</f>
        <v>0</v>
      </c>
      <c r="O208" t="str" cm="1">
        <f t="array" ref="O208">_xlfn.IFS(AND(Table1[[#This Row],[Age]]&gt;=22,Table1[[#This Row],[Age]]&lt;=35),"22-35",AND(Table1[[#This Row],[Age]]&gt;=36,Table1[[#This Row],[Age]]&lt;=45),"36-45",AND(Table1[[#This Row],[Age]]&gt;=46,Table1[[#This Row],[Age]]&lt;=55),"46-55")</f>
        <v>36-45</v>
      </c>
      <c r="P208">
        <f>IF(Table1[[#This Row],[Employment_Status]]="active",1,0)</f>
        <v>1</v>
      </c>
      <c r="Q208">
        <v>1</v>
      </c>
      <c r="R208" s="6">
        <f ca="1">YEARFRAC(Table1[[#This Row],[Hire_Date]],IF(Table1[[#This Row],[Employment_Status]]="Exited",Table1[[#This Row],[Exit_Date]],TODAY()))</f>
        <v>3.2555555555555555</v>
      </c>
      <c r="S208" t="str" cm="1">
        <f t="array" aca="1" ref="S208" ca="1">_xlfn.IFS(AND(Table1[[#This Row],[Tenure]]&gt;=0,Table1[[#This Row],[Tenure]]&lt;=1),"0-1",AND(Table1[[#This Row],[Tenure]]&gt;1,Table1[[#This Row],[Tenure]]&lt;=3),"1-3",AND(Table1[[#This Row],[Tenure]]&gt;3,Table1[[#This Row],[Tenure]]&lt;=5),"3-5",AND(Table1[[#This Row],[Tenure]]&gt;5,Table1[[#This Row],[Tenure]]&lt;=8),"5-8")</f>
        <v>3-5</v>
      </c>
      <c r="T208" t="str" cm="1">
        <f t="array" ref="T208">_xlfn.IFS(AND(Table1[[#This Row],[Salary]]&gt;=180000, Table1[[#This Row],[Salary]] &lt;=500000),"Low (180k-500k)", AND(Table1[[#This Row],[Salary]]&gt;500000, Table1[[#This Row],[Salary]]&lt;=800000), "Medium (501k-800k)", AND(Table1[[#This Row],[Salary]]&gt;800000, Table1[[#This Row],[Salary]]&lt;1200000), "High (801k - 1.2m)")</f>
        <v>Low (180k-500k)</v>
      </c>
    </row>
    <row r="209" spans="1:20" x14ac:dyDescent="0.2">
      <c r="A209">
        <v>208</v>
      </c>
      <c r="B209" t="s">
        <v>33</v>
      </c>
      <c r="C209" t="s">
        <v>20</v>
      </c>
      <c r="D209">
        <v>30</v>
      </c>
      <c r="E209" t="s">
        <v>15</v>
      </c>
      <c r="F209" t="s">
        <v>34</v>
      </c>
      <c r="G209">
        <v>555624</v>
      </c>
      <c r="H209" t="s">
        <v>261</v>
      </c>
      <c r="J209" t="s">
        <v>18</v>
      </c>
      <c r="K209">
        <v>3</v>
      </c>
      <c r="L209">
        <v>46</v>
      </c>
      <c r="M209">
        <v>87</v>
      </c>
      <c r="N209">
        <f>IF(Table1[[#This Row],[Employment_Status]]="Exited",1,0)</f>
        <v>0</v>
      </c>
      <c r="O209" t="str" cm="1">
        <f t="array" ref="O209">_xlfn.IFS(AND(Table1[[#This Row],[Age]]&gt;=22,Table1[[#This Row],[Age]]&lt;=35),"22-35",AND(Table1[[#This Row],[Age]]&gt;=36,Table1[[#This Row],[Age]]&lt;=45),"36-45",AND(Table1[[#This Row],[Age]]&gt;=46,Table1[[#This Row],[Age]]&lt;=55),"46-55")</f>
        <v>22-35</v>
      </c>
      <c r="P209">
        <f>IF(Table1[[#This Row],[Employment_Status]]="active",1,0)</f>
        <v>1</v>
      </c>
      <c r="Q209">
        <v>1</v>
      </c>
      <c r="R209" s="6">
        <f ca="1">YEARFRAC(Table1[[#This Row],[Hire_Date]],IF(Table1[[#This Row],[Employment_Status]]="Exited",Table1[[#This Row],[Exit_Date]],TODAY()))</f>
        <v>2.8166666666666669</v>
      </c>
      <c r="S209" t="str" cm="1">
        <f t="array" aca="1" ref="S209" ca="1">_xlfn.IFS(AND(Table1[[#This Row],[Tenure]]&gt;=0,Table1[[#This Row],[Tenure]]&lt;=1),"0-1",AND(Table1[[#This Row],[Tenure]]&gt;1,Table1[[#This Row],[Tenure]]&lt;=3),"1-3",AND(Table1[[#This Row],[Tenure]]&gt;3,Table1[[#This Row],[Tenure]]&lt;=5),"3-5",AND(Table1[[#This Row],[Tenure]]&gt;5,Table1[[#This Row],[Tenure]]&lt;=8),"5-8")</f>
        <v>1-3</v>
      </c>
      <c r="T209" t="str" cm="1">
        <f t="array" ref="T209">_xlfn.IFS(AND(Table1[[#This Row],[Salary]]&gt;=180000, Table1[[#This Row],[Salary]] &lt;=500000),"Low (180k-500k)", AND(Table1[[#This Row],[Salary]]&gt;500000, Table1[[#This Row],[Salary]]&lt;=800000), "Medium (501k-800k)", AND(Table1[[#This Row],[Salary]]&gt;800000, Table1[[#This Row],[Salary]]&lt;1200000), "High (801k - 1.2m)")</f>
        <v>Medium (501k-800k)</v>
      </c>
    </row>
    <row r="210" spans="1:20" x14ac:dyDescent="0.2">
      <c r="A210">
        <v>209</v>
      </c>
      <c r="B210" t="s">
        <v>36</v>
      </c>
      <c r="C210" t="s">
        <v>14</v>
      </c>
      <c r="D210">
        <v>46</v>
      </c>
      <c r="E210" t="s">
        <v>15</v>
      </c>
      <c r="F210" t="s">
        <v>16</v>
      </c>
      <c r="G210">
        <v>516647</v>
      </c>
      <c r="H210" t="s">
        <v>262</v>
      </c>
      <c r="J210" t="s">
        <v>18</v>
      </c>
      <c r="K210">
        <v>5</v>
      </c>
      <c r="L210">
        <v>45</v>
      </c>
      <c r="M210">
        <v>79</v>
      </c>
      <c r="N210">
        <f>IF(Table1[[#This Row],[Employment_Status]]="Exited",1,0)</f>
        <v>0</v>
      </c>
      <c r="O210" t="str" cm="1">
        <f t="array" ref="O210">_xlfn.IFS(AND(Table1[[#This Row],[Age]]&gt;=22,Table1[[#This Row],[Age]]&lt;=35),"22-35",AND(Table1[[#This Row],[Age]]&gt;=36,Table1[[#This Row],[Age]]&lt;=45),"36-45",AND(Table1[[#This Row],[Age]]&gt;=46,Table1[[#This Row],[Age]]&lt;=55),"46-55")</f>
        <v>46-55</v>
      </c>
      <c r="P210">
        <f>IF(Table1[[#This Row],[Employment_Status]]="active",1,0)</f>
        <v>1</v>
      </c>
      <c r="Q210">
        <v>1</v>
      </c>
      <c r="R210" s="6">
        <f ca="1">YEARFRAC(Table1[[#This Row],[Hire_Date]],IF(Table1[[#This Row],[Employment_Status]]="Exited",Table1[[#This Row],[Exit_Date]],TODAY()))</f>
        <v>4.302777777777778</v>
      </c>
      <c r="S210" t="str" cm="1">
        <f t="array" aca="1" ref="S210" ca="1">_xlfn.IFS(AND(Table1[[#This Row],[Tenure]]&gt;=0,Table1[[#This Row],[Tenure]]&lt;=1),"0-1",AND(Table1[[#This Row],[Tenure]]&gt;1,Table1[[#This Row],[Tenure]]&lt;=3),"1-3",AND(Table1[[#This Row],[Tenure]]&gt;3,Table1[[#This Row],[Tenure]]&lt;=5),"3-5",AND(Table1[[#This Row],[Tenure]]&gt;5,Table1[[#This Row],[Tenure]]&lt;=8),"5-8")</f>
        <v>3-5</v>
      </c>
      <c r="T210" t="str" cm="1">
        <f t="array" ref="T210">_xlfn.IFS(AND(Table1[[#This Row],[Salary]]&gt;=180000, Table1[[#This Row],[Salary]] &lt;=500000),"Low (180k-500k)", AND(Table1[[#This Row],[Salary]]&gt;500000, Table1[[#This Row],[Salary]]&lt;=800000), "Medium (501k-800k)", AND(Table1[[#This Row],[Salary]]&gt;800000, Table1[[#This Row],[Salary]]&lt;1200000), "High (801k - 1.2m)")</f>
        <v>Medium (501k-800k)</v>
      </c>
    </row>
    <row r="211" spans="1:20" x14ac:dyDescent="0.2">
      <c r="A211">
        <v>210</v>
      </c>
      <c r="B211" t="s">
        <v>47</v>
      </c>
      <c r="C211" t="s">
        <v>14</v>
      </c>
      <c r="D211">
        <v>27</v>
      </c>
      <c r="E211" t="s">
        <v>21</v>
      </c>
      <c r="F211" t="s">
        <v>16</v>
      </c>
      <c r="G211">
        <v>435896</v>
      </c>
      <c r="H211" t="s">
        <v>50</v>
      </c>
      <c r="I211" t="s">
        <v>263</v>
      </c>
      <c r="J211" t="s">
        <v>55</v>
      </c>
      <c r="K211">
        <v>3</v>
      </c>
      <c r="L211">
        <v>26</v>
      </c>
      <c r="M211">
        <v>71</v>
      </c>
      <c r="N211">
        <f>IF(Table1[[#This Row],[Employment_Status]]="Exited",1,0)</f>
        <v>1</v>
      </c>
      <c r="O211" t="str" cm="1">
        <f t="array" ref="O211">_xlfn.IFS(AND(Table1[[#This Row],[Age]]&gt;=22,Table1[[#This Row],[Age]]&lt;=35),"22-35",AND(Table1[[#This Row],[Age]]&gt;=36,Table1[[#This Row],[Age]]&lt;=45),"36-45",AND(Table1[[#This Row],[Age]]&gt;=46,Table1[[#This Row],[Age]]&lt;=55),"46-55")</f>
        <v>22-35</v>
      </c>
      <c r="P211">
        <f>IF(Table1[[#This Row],[Employment_Status]]="active",1,0)</f>
        <v>0</v>
      </c>
      <c r="Q211">
        <v>1</v>
      </c>
      <c r="R211" s="6">
        <f ca="1">YEARFRAC(Table1[[#This Row],[Hire_Date]],IF(Table1[[#This Row],[Employment_Status]]="Exited",Table1[[#This Row],[Exit_Date]],TODAY()))</f>
        <v>1.8805555555555555</v>
      </c>
      <c r="S211" t="str" cm="1">
        <f t="array" aca="1" ref="S211" ca="1">_xlfn.IFS(AND(Table1[[#This Row],[Tenure]]&gt;=0,Table1[[#This Row],[Tenure]]&lt;=1),"0-1",AND(Table1[[#This Row],[Tenure]]&gt;1,Table1[[#This Row],[Tenure]]&lt;=3),"1-3",AND(Table1[[#This Row],[Tenure]]&gt;3,Table1[[#This Row],[Tenure]]&lt;=5),"3-5",AND(Table1[[#This Row],[Tenure]]&gt;5,Table1[[#This Row],[Tenure]]&lt;=8),"5-8")</f>
        <v>1-3</v>
      </c>
      <c r="T211" t="str" cm="1">
        <f t="array" ref="T211">_xlfn.IFS(AND(Table1[[#This Row],[Salary]]&gt;=180000, Table1[[#This Row],[Salary]] &lt;=500000),"Low (180k-500k)", AND(Table1[[#This Row],[Salary]]&gt;500000, Table1[[#This Row],[Salary]]&lt;=800000), "Medium (501k-800k)", AND(Table1[[#This Row],[Salary]]&gt;800000, Table1[[#This Row],[Salary]]&lt;1200000), "High (801k - 1.2m)")</f>
        <v>Low (180k-500k)</v>
      </c>
    </row>
    <row r="212" spans="1:20" x14ac:dyDescent="0.2">
      <c r="A212">
        <v>211</v>
      </c>
      <c r="B212" t="s">
        <v>29</v>
      </c>
      <c r="C212" t="s">
        <v>20</v>
      </c>
      <c r="D212">
        <v>48</v>
      </c>
      <c r="E212" t="s">
        <v>21</v>
      </c>
      <c r="F212" t="s">
        <v>34</v>
      </c>
      <c r="G212">
        <v>312587</v>
      </c>
      <c r="H212" t="s">
        <v>264</v>
      </c>
      <c r="J212" t="s">
        <v>18</v>
      </c>
      <c r="K212">
        <v>3</v>
      </c>
      <c r="L212">
        <v>9</v>
      </c>
      <c r="M212">
        <v>94</v>
      </c>
      <c r="N212">
        <f>IF(Table1[[#This Row],[Employment_Status]]="Exited",1,0)</f>
        <v>0</v>
      </c>
      <c r="O212" t="str" cm="1">
        <f t="array" ref="O212">_xlfn.IFS(AND(Table1[[#This Row],[Age]]&gt;=22,Table1[[#This Row],[Age]]&lt;=35),"22-35",AND(Table1[[#This Row],[Age]]&gt;=36,Table1[[#This Row],[Age]]&lt;=45),"36-45",AND(Table1[[#This Row],[Age]]&gt;=46,Table1[[#This Row],[Age]]&lt;=55),"46-55")</f>
        <v>46-55</v>
      </c>
      <c r="P212">
        <f>IF(Table1[[#This Row],[Employment_Status]]="active",1,0)</f>
        <v>1</v>
      </c>
      <c r="Q212">
        <v>1</v>
      </c>
      <c r="R212" s="6">
        <f ca="1">YEARFRAC(Table1[[#This Row],[Hire_Date]],IF(Table1[[#This Row],[Employment_Status]]="Exited",Table1[[#This Row],[Exit_Date]],TODAY()))</f>
        <v>2.8027777777777776</v>
      </c>
      <c r="S212" t="str" cm="1">
        <f t="array" aca="1" ref="S212" ca="1">_xlfn.IFS(AND(Table1[[#This Row],[Tenure]]&gt;=0,Table1[[#This Row],[Tenure]]&lt;=1),"0-1",AND(Table1[[#This Row],[Tenure]]&gt;1,Table1[[#This Row],[Tenure]]&lt;=3),"1-3",AND(Table1[[#This Row],[Tenure]]&gt;3,Table1[[#This Row],[Tenure]]&lt;=5),"3-5",AND(Table1[[#This Row],[Tenure]]&gt;5,Table1[[#This Row],[Tenure]]&lt;=8),"5-8")</f>
        <v>1-3</v>
      </c>
      <c r="T212" t="str" cm="1">
        <f t="array" ref="T212">_xlfn.IFS(AND(Table1[[#This Row],[Salary]]&gt;=180000, Table1[[#This Row],[Salary]] &lt;=500000),"Low (180k-500k)", AND(Table1[[#This Row],[Salary]]&gt;500000, Table1[[#This Row],[Salary]]&lt;=800000), "Medium (501k-800k)", AND(Table1[[#This Row],[Salary]]&gt;800000, Table1[[#This Row],[Salary]]&lt;1200000), "High (801k - 1.2m)")</f>
        <v>Low (180k-500k)</v>
      </c>
    </row>
    <row r="213" spans="1:20" x14ac:dyDescent="0.2">
      <c r="A213">
        <v>212</v>
      </c>
      <c r="B213" t="s">
        <v>19</v>
      </c>
      <c r="C213" t="s">
        <v>20</v>
      </c>
      <c r="D213">
        <v>23</v>
      </c>
      <c r="E213" t="s">
        <v>15</v>
      </c>
      <c r="F213" t="s">
        <v>22</v>
      </c>
      <c r="G213">
        <v>961182</v>
      </c>
      <c r="H213" t="s">
        <v>265</v>
      </c>
      <c r="J213" t="s">
        <v>18</v>
      </c>
      <c r="K213">
        <v>3</v>
      </c>
      <c r="L213">
        <v>35</v>
      </c>
      <c r="M213">
        <v>86</v>
      </c>
      <c r="N213">
        <f>IF(Table1[[#This Row],[Employment_Status]]="Exited",1,0)</f>
        <v>0</v>
      </c>
      <c r="O213" t="str" cm="1">
        <f t="array" ref="O213">_xlfn.IFS(AND(Table1[[#This Row],[Age]]&gt;=22,Table1[[#This Row],[Age]]&lt;=35),"22-35",AND(Table1[[#This Row],[Age]]&gt;=36,Table1[[#This Row],[Age]]&lt;=45),"36-45",AND(Table1[[#This Row],[Age]]&gt;=46,Table1[[#This Row],[Age]]&lt;=55),"46-55")</f>
        <v>22-35</v>
      </c>
      <c r="P213">
        <f>IF(Table1[[#This Row],[Employment_Status]]="active",1,0)</f>
        <v>1</v>
      </c>
      <c r="Q213">
        <v>1</v>
      </c>
      <c r="R213" s="6">
        <f ca="1">YEARFRAC(Table1[[#This Row],[Hire_Date]],IF(Table1[[#This Row],[Employment_Status]]="Exited",Table1[[#This Row],[Exit_Date]],TODAY()))</f>
        <v>6.2833333333333332</v>
      </c>
      <c r="S213" t="str" cm="1">
        <f t="array" aca="1" ref="S213" ca="1">_xlfn.IFS(AND(Table1[[#This Row],[Tenure]]&gt;=0,Table1[[#This Row],[Tenure]]&lt;=1),"0-1",AND(Table1[[#This Row],[Tenure]]&gt;1,Table1[[#This Row],[Tenure]]&lt;=3),"1-3",AND(Table1[[#This Row],[Tenure]]&gt;3,Table1[[#This Row],[Tenure]]&lt;=5),"3-5",AND(Table1[[#This Row],[Tenure]]&gt;5,Table1[[#This Row],[Tenure]]&lt;=8),"5-8")</f>
        <v>5-8</v>
      </c>
      <c r="T213" t="str" cm="1">
        <f t="array" ref="T213">_xlfn.IFS(AND(Table1[[#This Row],[Salary]]&gt;=180000, Table1[[#This Row],[Salary]] &lt;=500000),"Low (180k-500k)", AND(Table1[[#This Row],[Salary]]&gt;500000, Table1[[#This Row],[Salary]]&lt;=800000), "Medium (501k-800k)", AND(Table1[[#This Row],[Salary]]&gt;800000, Table1[[#This Row],[Salary]]&lt;1200000), "High (801k - 1.2m)")</f>
        <v>High (801k - 1.2m)</v>
      </c>
    </row>
    <row r="214" spans="1:20" x14ac:dyDescent="0.2">
      <c r="A214">
        <v>213</v>
      </c>
      <c r="B214" t="s">
        <v>31</v>
      </c>
      <c r="C214" t="s">
        <v>14</v>
      </c>
      <c r="D214">
        <v>36</v>
      </c>
      <c r="E214" t="s">
        <v>49</v>
      </c>
      <c r="F214" t="s">
        <v>16</v>
      </c>
      <c r="G214">
        <v>500778</v>
      </c>
      <c r="H214" t="s">
        <v>266</v>
      </c>
      <c r="I214" t="s">
        <v>267</v>
      </c>
      <c r="J214" t="s">
        <v>55</v>
      </c>
      <c r="K214">
        <v>4</v>
      </c>
      <c r="L214">
        <v>47</v>
      </c>
      <c r="M214">
        <v>93</v>
      </c>
      <c r="N214">
        <f>IF(Table1[[#This Row],[Employment_Status]]="Exited",1,0)</f>
        <v>1</v>
      </c>
      <c r="O214" t="str" cm="1">
        <f t="array" ref="O214">_xlfn.IFS(AND(Table1[[#This Row],[Age]]&gt;=22,Table1[[#This Row],[Age]]&lt;=35),"22-35",AND(Table1[[#This Row],[Age]]&gt;=36,Table1[[#This Row],[Age]]&lt;=45),"36-45",AND(Table1[[#This Row],[Age]]&gt;=46,Table1[[#This Row],[Age]]&lt;=55),"46-55")</f>
        <v>36-45</v>
      </c>
      <c r="P214">
        <f>IF(Table1[[#This Row],[Employment_Status]]="active",1,0)</f>
        <v>0</v>
      </c>
      <c r="Q214">
        <v>1</v>
      </c>
      <c r="R214" s="6">
        <f ca="1">YEARFRAC(Table1[[#This Row],[Hire_Date]],IF(Table1[[#This Row],[Employment_Status]]="Exited",Table1[[#This Row],[Exit_Date]],TODAY()))</f>
        <v>1.5694444444444444</v>
      </c>
      <c r="S214" t="str" cm="1">
        <f t="array" aca="1" ref="S214" ca="1">_xlfn.IFS(AND(Table1[[#This Row],[Tenure]]&gt;=0,Table1[[#This Row],[Tenure]]&lt;=1),"0-1",AND(Table1[[#This Row],[Tenure]]&gt;1,Table1[[#This Row],[Tenure]]&lt;=3),"1-3",AND(Table1[[#This Row],[Tenure]]&gt;3,Table1[[#This Row],[Tenure]]&lt;=5),"3-5",AND(Table1[[#This Row],[Tenure]]&gt;5,Table1[[#This Row],[Tenure]]&lt;=8),"5-8")</f>
        <v>1-3</v>
      </c>
      <c r="T214" t="str" cm="1">
        <f t="array" ref="T214">_xlfn.IFS(AND(Table1[[#This Row],[Salary]]&gt;=180000, Table1[[#This Row],[Salary]] &lt;=500000),"Low (180k-500k)", AND(Table1[[#This Row],[Salary]]&gt;500000, Table1[[#This Row],[Salary]]&lt;=800000), "Medium (501k-800k)", AND(Table1[[#This Row],[Salary]]&gt;800000, Table1[[#This Row],[Salary]]&lt;1200000), "High (801k - 1.2m)")</f>
        <v>Medium (501k-800k)</v>
      </c>
    </row>
    <row r="215" spans="1:20" x14ac:dyDescent="0.2">
      <c r="A215">
        <v>214</v>
      </c>
      <c r="B215" t="s">
        <v>75</v>
      </c>
      <c r="C215" t="s">
        <v>20</v>
      </c>
      <c r="D215">
        <v>51</v>
      </c>
      <c r="E215" t="s">
        <v>15</v>
      </c>
      <c r="F215" t="s">
        <v>22</v>
      </c>
      <c r="G215">
        <v>517580</v>
      </c>
      <c r="H215" t="s">
        <v>268</v>
      </c>
      <c r="J215" t="s">
        <v>18</v>
      </c>
      <c r="K215">
        <v>3</v>
      </c>
      <c r="L215">
        <v>32</v>
      </c>
      <c r="M215">
        <v>86</v>
      </c>
      <c r="N215">
        <f>IF(Table1[[#This Row],[Employment_Status]]="Exited",1,0)</f>
        <v>0</v>
      </c>
      <c r="O215" t="str" cm="1">
        <f t="array" ref="O215">_xlfn.IFS(AND(Table1[[#This Row],[Age]]&gt;=22,Table1[[#This Row],[Age]]&lt;=35),"22-35",AND(Table1[[#This Row],[Age]]&gt;=36,Table1[[#This Row],[Age]]&lt;=45),"36-45",AND(Table1[[#This Row],[Age]]&gt;=46,Table1[[#This Row],[Age]]&lt;=55),"46-55")</f>
        <v>46-55</v>
      </c>
      <c r="P215">
        <f>IF(Table1[[#This Row],[Employment_Status]]="active",1,0)</f>
        <v>1</v>
      </c>
      <c r="Q215">
        <v>1</v>
      </c>
      <c r="R215" s="6">
        <f ca="1">YEARFRAC(Table1[[#This Row],[Hire_Date]],IF(Table1[[#This Row],[Employment_Status]]="Exited",Table1[[#This Row],[Exit_Date]],TODAY()))</f>
        <v>6.3777777777777782</v>
      </c>
      <c r="S215" t="str" cm="1">
        <f t="array" aca="1" ref="S215" ca="1">_xlfn.IFS(AND(Table1[[#This Row],[Tenure]]&gt;=0,Table1[[#This Row],[Tenure]]&lt;=1),"0-1",AND(Table1[[#This Row],[Tenure]]&gt;1,Table1[[#This Row],[Tenure]]&lt;=3),"1-3",AND(Table1[[#This Row],[Tenure]]&gt;3,Table1[[#This Row],[Tenure]]&lt;=5),"3-5",AND(Table1[[#This Row],[Tenure]]&gt;5,Table1[[#This Row],[Tenure]]&lt;=8),"5-8")</f>
        <v>5-8</v>
      </c>
      <c r="T215" t="str" cm="1">
        <f t="array" ref="T215">_xlfn.IFS(AND(Table1[[#This Row],[Salary]]&gt;=180000, Table1[[#This Row],[Salary]] &lt;=500000),"Low (180k-500k)", AND(Table1[[#This Row],[Salary]]&gt;500000, Table1[[#This Row],[Salary]]&lt;=800000), "Medium (501k-800k)", AND(Table1[[#This Row],[Salary]]&gt;800000, Table1[[#This Row],[Salary]]&lt;1200000), "High (801k - 1.2m)")</f>
        <v>Medium (501k-800k)</v>
      </c>
    </row>
    <row r="216" spans="1:20" x14ac:dyDescent="0.2">
      <c r="A216">
        <v>215</v>
      </c>
      <c r="B216" t="s">
        <v>47</v>
      </c>
      <c r="C216" t="s">
        <v>14</v>
      </c>
      <c r="D216">
        <v>23</v>
      </c>
      <c r="E216" t="s">
        <v>21</v>
      </c>
      <c r="F216" t="s">
        <v>16</v>
      </c>
      <c r="G216">
        <v>271661</v>
      </c>
      <c r="H216" t="s">
        <v>269</v>
      </c>
      <c r="J216" t="s">
        <v>18</v>
      </c>
      <c r="K216">
        <v>3</v>
      </c>
      <c r="L216">
        <v>23</v>
      </c>
      <c r="M216">
        <v>71</v>
      </c>
      <c r="N216">
        <f>IF(Table1[[#This Row],[Employment_Status]]="Exited",1,0)</f>
        <v>0</v>
      </c>
      <c r="O216" t="str" cm="1">
        <f t="array" ref="O216">_xlfn.IFS(AND(Table1[[#This Row],[Age]]&gt;=22,Table1[[#This Row],[Age]]&lt;=35),"22-35",AND(Table1[[#This Row],[Age]]&gt;=36,Table1[[#This Row],[Age]]&lt;=45),"36-45",AND(Table1[[#This Row],[Age]]&gt;=46,Table1[[#This Row],[Age]]&lt;=55),"46-55")</f>
        <v>22-35</v>
      </c>
      <c r="P216">
        <f>IF(Table1[[#This Row],[Employment_Status]]="active",1,0)</f>
        <v>1</v>
      </c>
      <c r="Q216">
        <v>1</v>
      </c>
      <c r="R216" s="6">
        <f ca="1">YEARFRAC(Table1[[#This Row],[Hire_Date]],IF(Table1[[#This Row],[Employment_Status]]="Exited",Table1[[#This Row],[Exit_Date]],TODAY()))</f>
        <v>5.1638888888888888</v>
      </c>
      <c r="S216" t="str" cm="1">
        <f t="array" aca="1" ref="S216" ca="1">_xlfn.IFS(AND(Table1[[#This Row],[Tenure]]&gt;=0,Table1[[#This Row],[Tenure]]&lt;=1),"0-1",AND(Table1[[#This Row],[Tenure]]&gt;1,Table1[[#This Row],[Tenure]]&lt;=3),"1-3",AND(Table1[[#This Row],[Tenure]]&gt;3,Table1[[#This Row],[Tenure]]&lt;=5),"3-5",AND(Table1[[#This Row],[Tenure]]&gt;5,Table1[[#This Row],[Tenure]]&lt;=8),"5-8")</f>
        <v>5-8</v>
      </c>
      <c r="T216" t="str" cm="1">
        <f t="array" ref="T216">_xlfn.IFS(AND(Table1[[#This Row],[Salary]]&gt;=180000, Table1[[#This Row],[Salary]] &lt;=500000),"Low (180k-500k)", AND(Table1[[#This Row],[Salary]]&gt;500000, Table1[[#This Row],[Salary]]&lt;=800000), "Medium (501k-800k)", AND(Table1[[#This Row],[Salary]]&gt;800000, Table1[[#This Row],[Salary]]&lt;1200000), "High (801k - 1.2m)")</f>
        <v>Low (180k-500k)</v>
      </c>
    </row>
    <row r="217" spans="1:20" x14ac:dyDescent="0.2">
      <c r="A217">
        <v>216</v>
      </c>
      <c r="B217" t="s">
        <v>13</v>
      </c>
      <c r="C217" t="s">
        <v>20</v>
      </c>
      <c r="D217">
        <v>32</v>
      </c>
      <c r="E217" t="s">
        <v>49</v>
      </c>
      <c r="F217" t="s">
        <v>16</v>
      </c>
      <c r="G217">
        <v>365453</v>
      </c>
      <c r="H217" t="s">
        <v>270</v>
      </c>
      <c r="J217" t="s">
        <v>18</v>
      </c>
      <c r="K217">
        <v>3</v>
      </c>
      <c r="L217">
        <v>0</v>
      </c>
      <c r="M217">
        <v>78</v>
      </c>
      <c r="N217">
        <f>IF(Table1[[#This Row],[Employment_Status]]="Exited",1,0)</f>
        <v>0</v>
      </c>
      <c r="O217" t="str" cm="1">
        <f t="array" ref="O217">_xlfn.IFS(AND(Table1[[#This Row],[Age]]&gt;=22,Table1[[#This Row],[Age]]&lt;=35),"22-35",AND(Table1[[#This Row],[Age]]&gt;=36,Table1[[#This Row],[Age]]&lt;=45),"36-45",AND(Table1[[#This Row],[Age]]&gt;=46,Table1[[#This Row],[Age]]&lt;=55),"46-55")</f>
        <v>22-35</v>
      </c>
      <c r="P217">
        <f>IF(Table1[[#This Row],[Employment_Status]]="active",1,0)</f>
        <v>1</v>
      </c>
      <c r="Q217">
        <v>1</v>
      </c>
      <c r="R217" s="6">
        <f ca="1">YEARFRAC(Table1[[#This Row],[Hire_Date]],IF(Table1[[#This Row],[Employment_Status]]="Exited",Table1[[#This Row],[Exit_Date]],TODAY()))</f>
        <v>4.0222222222222221</v>
      </c>
      <c r="S217" t="str" cm="1">
        <f t="array" aca="1" ref="S217" ca="1">_xlfn.IFS(AND(Table1[[#This Row],[Tenure]]&gt;=0,Table1[[#This Row],[Tenure]]&lt;=1),"0-1",AND(Table1[[#This Row],[Tenure]]&gt;1,Table1[[#This Row],[Tenure]]&lt;=3),"1-3",AND(Table1[[#This Row],[Tenure]]&gt;3,Table1[[#This Row],[Tenure]]&lt;=5),"3-5",AND(Table1[[#This Row],[Tenure]]&gt;5,Table1[[#This Row],[Tenure]]&lt;=8),"5-8")</f>
        <v>3-5</v>
      </c>
      <c r="T217" t="str" cm="1">
        <f t="array" ref="T217">_xlfn.IFS(AND(Table1[[#This Row],[Salary]]&gt;=180000, Table1[[#This Row],[Salary]] &lt;=500000),"Low (180k-500k)", AND(Table1[[#This Row],[Salary]]&gt;500000, Table1[[#This Row],[Salary]]&lt;=800000), "Medium (501k-800k)", AND(Table1[[#This Row],[Salary]]&gt;800000, Table1[[#This Row],[Salary]]&lt;1200000), "High (801k - 1.2m)")</f>
        <v>Low (180k-500k)</v>
      </c>
    </row>
    <row r="218" spans="1:20" x14ac:dyDescent="0.2">
      <c r="A218">
        <v>217</v>
      </c>
      <c r="B218" t="s">
        <v>75</v>
      </c>
      <c r="C218" t="s">
        <v>20</v>
      </c>
      <c r="D218">
        <v>50</v>
      </c>
      <c r="E218" t="s">
        <v>45</v>
      </c>
      <c r="F218" t="s">
        <v>34</v>
      </c>
      <c r="G218">
        <v>315132</v>
      </c>
      <c r="H218" t="s">
        <v>271</v>
      </c>
      <c r="J218" t="s">
        <v>18</v>
      </c>
      <c r="K218">
        <v>2</v>
      </c>
      <c r="L218">
        <v>25</v>
      </c>
      <c r="M218">
        <v>75</v>
      </c>
      <c r="N218">
        <f>IF(Table1[[#This Row],[Employment_Status]]="Exited",1,0)</f>
        <v>0</v>
      </c>
      <c r="O218" t="str" cm="1">
        <f t="array" ref="O218">_xlfn.IFS(AND(Table1[[#This Row],[Age]]&gt;=22,Table1[[#This Row],[Age]]&lt;=35),"22-35",AND(Table1[[#This Row],[Age]]&gt;=36,Table1[[#This Row],[Age]]&lt;=45),"36-45",AND(Table1[[#This Row],[Age]]&gt;=46,Table1[[#This Row],[Age]]&lt;=55),"46-55")</f>
        <v>46-55</v>
      </c>
      <c r="P218">
        <f>IF(Table1[[#This Row],[Employment_Status]]="active",1,0)</f>
        <v>1</v>
      </c>
      <c r="Q218">
        <v>1</v>
      </c>
      <c r="R218" s="6">
        <f ca="1">YEARFRAC(Table1[[#This Row],[Hire_Date]],IF(Table1[[#This Row],[Employment_Status]]="Exited",Table1[[#This Row],[Exit_Date]],TODAY()))</f>
        <v>7.0222222222222221</v>
      </c>
      <c r="S218" t="str" cm="1">
        <f t="array" aca="1" ref="S218" ca="1">_xlfn.IFS(AND(Table1[[#This Row],[Tenure]]&gt;=0,Table1[[#This Row],[Tenure]]&lt;=1),"0-1",AND(Table1[[#This Row],[Tenure]]&gt;1,Table1[[#This Row],[Tenure]]&lt;=3),"1-3",AND(Table1[[#This Row],[Tenure]]&gt;3,Table1[[#This Row],[Tenure]]&lt;=5),"3-5",AND(Table1[[#This Row],[Tenure]]&gt;5,Table1[[#This Row],[Tenure]]&lt;=8),"5-8")</f>
        <v>5-8</v>
      </c>
      <c r="T218" t="str" cm="1">
        <f t="array" ref="T218">_xlfn.IFS(AND(Table1[[#This Row],[Salary]]&gt;=180000, Table1[[#This Row],[Salary]] &lt;=500000),"Low (180k-500k)", AND(Table1[[#This Row],[Salary]]&gt;500000, Table1[[#This Row],[Salary]]&lt;=800000), "Medium (501k-800k)", AND(Table1[[#This Row],[Salary]]&gt;800000, Table1[[#This Row],[Salary]]&lt;1200000), "High (801k - 1.2m)")</f>
        <v>Low (180k-500k)</v>
      </c>
    </row>
    <row r="219" spans="1:20" x14ac:dyDescent="0.2">
      <c r="A219">
        <v>218</v>
      </c>
      <c r="B219" t="s">
        <v>36</v>
      </c>
      <c r="C219" t="s">
        <v>14</v>
      </c>
      <c r="D219">
        <v>24</v>
      </c>
      <c r="E219" t="s">
        <v>15</v>
      </c>
      <c r="F219" t="s">
        <v>34</v>
      </c>
      <c r="G219">
        <v>631037</v>
      </c>
      <c r="H219" t="s">
        <v>272</v>
      </c>
      <c r="J219" t="s">
        <v>18</v>
      </c>
      <c r="K219">
        <v>1</v>
      </c>
      <c r="L219">
        <v>19</v>
      </c>
      <c r="M219">
        <v>68</v>
      </c>
      <c r="N219">
        <f>IF(Table1[[#This Row],[Employment_Status]]="Exited",1,0)</f>
        <v>0</v>
      </c>
      <c r="O219" t="str" cm="1">
        <f t="array" ref="O219">_xlfn.IFS(AND(Table1[[#This Row],[Age]]&gt;=22,Table1[[#This Row],[Age]]&lt;=35),"22-35",AND(Table1[[#This Row],[Age]]&gt;=36,Table1[[#This Row],[Age]]&lt;=45),"36-45",AND(Table1[[#This Row],[Age]]&gt;=46,Table1[[#This Row],[Age]]&lt;=55),"46-55")</f>
        <v>22-35</v>
      </c>
      <c r="P219">
        <f>IF(Table1[[#This Row],[Employment_Status]]="active",1,0)</f>
        <v>1</v>
      </c>
      <c r="Q219">
        <v>1</v>
      </c>
      <c r="R219" s="6">
        <f ca="1">YEARFRAC(Table1[[#This Row],[Hire_Date]],IF(Table1[[#This Row],[Employment_Status]]="Exited",Table1[[#This Row],[Exit_Date]],TODAY()))</f>
        <v>7.083333333333333</v>
      </c>
      <c r="S219" t="str" cm="1">
        <f t="array" aca="1" ref="S219" ca="1">_xlfn.IFS(AND(Table1[[#This Row],[Tenure]]&gt;=0,Table1[[#This Row],[Tenure]]&lt;=1),"0-1",AND(Table1[[#This Row],[Tenure]]&gt;1,Table1[[#This Row],[Tenure]]&lt;=3),"1-3",AND(Table1[[#This Row],[Tenure]]&gt;3,Table1[[#This Row],[Tenure]]&lt;=5),"3-5",AND(Table1[[#This Row],[Tenure]]&gt;5,Table1[[#This Row],[Tenure]]&lt;=8),"5-8")</f>
        <v>5-8</v>
      </c>
      <c r="T219" t="str" cm="1">
        <f t="array" ref="T219">_xlfn.IFS(AND(Table1[[#This Row],[Salary]]&gt;=180000, Table1[[#This Row],[Salary]] &lt;=500000),"Low (180k-500k)", AND(Table1[[#This Row],[Salary]]&gt;500000, Table1[[#This Row],[Salary]]&lt;=800000), "Medium (501k-800k)", AND(Table1[[#This Row],[Salary]]&gt;800000, Table1[[#This Row],[Salary]]&lt;1200000), "High (801k - 1.2m)")</f>
        <v>Medium (501k-800k)</v>
      </c>
    </row>
    <row r="220" spans="1:20" x14ac:dyDescent="0.2">
      <c r="A220">
        <v>219</v>
      </c>
      <c r="B220" t="s">
        <v>47</v>
      </c>
      <c r="C220" t="s">
        <v>14</v>
      </c>
      <c r="D220">
        <v>26</v>
      </c>
      <c r="E220" t="s">
        <v>21</v>
      </c>
      <c r="F220" t="s">
        <v>22</v>
      </c>
      <c r="G220">
        <v>273064</v>
      </c>
      <c r="H220" t="s">
        <v>273</v>
      </c>
      <c r="I220" t="s">
        <v>274</v>
      </c>
      <c r="J220" t="s">
        <v>55</v>
      </c>
      <c r="K220">
        <v>4</v>
      </c>
      <c r="L220">
        <v>0</v>
      </c>
      <c r="M220">
        <v>75</v>
      </c>
      <c r="N220">
        <f>IF(Table1[[#This Row],[Employment_Status]]="Exited",1,0)</f>
        <v>1</v>
      </c>
      <c r="O220" t="str" cm="1">
        <f t="array" ref="O220">_xlfn.IFS(AND(Table1[[#This Row],[Age]]&gt;=22,Table1[[#This Row],[Age]]&lt;=35),"22-35",AND(Table1[[#This Row],[Age]]&gt;=36,Table1[[#This Row],[Age]]&lt;=45),"36-45",AND(Table1[[#This Row],[Age]]&gt;=46,Table1[[#This Row],[Age]]&lt;=55),"46-55")</f>
        <v>22-35</v>
      </c>
      <c r="P220">
        <f>IF(Table1[[#This Row],[Employment_Status]]="active",1,0)</f>
        <v>0</v>
      </c>
      <c r="Q220">
        <v>1</v>
      </c>
      <c r="R220" s="6">
        <f ca="1">YEARFRAC(Table1[[#This Row],[Hire_Date]],IF(Table1[[#This Row],[Employment_Status]]="Exited",Table1[[#This Row],[Exit_Date]],TODAY()))</f>
        <v>1.2222222222222223</v>
      </c>
      <c r="S220" t="str" cm="1">
        <f t="array" aca="1" ref="S220" ca="1">_xlfn.IFS(AND(Table1[[#This Row],[Tenure]]&gt;=0,Table1[[#This Row],[Tenure]]&lt;=1),"0-1",AND(Table1[[#This Row],[Tenure]]&gt;1,Table1[[#This Row],[Tenure]]&lt;=3),"1-3",AND(Table1[[#This Row],[Tenure]]&gt;3,Table1[[#This Row],[Tenure]]&lt;=5),"3-5",AND(Table1[[#This Row],[Tenure]]&gt;5,Table1[[#This Row],[Tenure]]&lt;=8),"5-8")</f>
        <v>1-3</v>
      </c>
      <c r="T220" t="str" cm="1">
        <f t="array" ref="T220">_xlfn.IFS(AND(Table1[[#This Row],[Salary]]&gt;=180000, Table1[[#This Row],[Salary]] &lt;=500000),"Low (180k-500k)", AND(Table1[[#This Row],[Salary]]&gt;500000, Table1[[#This Row],[Salary]]&lt;=800000), "Medium (501k-800k)", AND(Table1[[#This Row],[Salary]]&gt;800000, Table1[[#This Row],[Salary]]&lt;1200000), "High (801k - 1.2m)")</f>
        <v>Low (180k-500k)</v>
      </c>
    </row>
    <row r="221" spans="1:20" x14ac:dyDescent="0.2">
      <c r="A221">
        <v>220</v>
      </c>
      <c r="B221" t="s">
        <v>29</v>
      </c>
      <c r="C221" t="s">
        <v>20</v>
      </c>
      <c r="D221">
        <v>44</v>
      </c>
      <c r="E221" t="s">
        <v>15</v>
      </c>
      <c r="F221" t="s">
        <v>34</v>
      </c>
      <c r="G221">
        <v>1154879</v>
      </c>
      <c r="H221" t="s">
        <v>275</v>
      </c>
      <c r="J221" t="s">
        <v>18</v>
      </c>
      <c r="K221">
        <v>2</v>
      </c>
      <c r="L221">
        <v>10</v>
      </c>
      <c r="M221">
        <v>94</v>
      </c>
      <c r="N221">
        <f>IF(Table1[[#This Row],[Employment_Status]]="Exited",1,0)</f>
        <v>0</v>
      </c>
      <c r="O221" t="str" cm="1">
        <f t="array" ref="O221">_xlfn.IFS(AND(Table1[[#This Row],[Age]]&gt;=22,Table1[[#This Row],[Age]]&lt;=35),"22-35",AND(Table1[[#This Row],[Age]]&gt;=36,Table1[[#This Row],[Age]]&lt;=45),"36-45",AND(Table1[[#This Row],[Age]]&gt;=46,Table1[[#This Row],[Age]]&lt;=55),"46-55")</f>
        <v>36-45</v>
      </c>
      <c r="P221">
        <f>IF(Table1[[#This Row],[Employment_Status]]="active",1,0)</f>
        <v>1</v>
      </c>
      <c r="Q221">
        <v>1</v>
      </c>
      <c r="R221" s="6">
        <f ca="1">YEARFRAC(Table1[[#This Row],[Hire_Date]],IF(Table1[[#This Row],[Employment_Status]]="Exited",Table1[[#This Row],[Exit_Date]],TODAY()))</f>
        <v>2.2527777777777778</v>
      </c>
      <c r="S221" t="str" cm="1">
        <f t="array" aca="1" ref="S221" ca="1">_xlfn.IFS(AND(Table1[[#This Row],[Tenure]]&gt;=0,Table1[[#This Row],[Tenure]]&lt;=1),"0-1",AND(Table1[[#This Row],[Tenure]]&gt;1,Table1[[#This Row],[Tenure]]&lt;=3),"1-3",AND(Table1[[#This Row],[Tenure]]&gt;3,Table1[[#This Row],[Tenure]]&lt;=5),"3-5",AND(Table1[[#This Row],[Tenure]]&gt;5,Table1[[#This Row],[Tenure]]&lt;=8),"5-8")</f>
        <v>1-3</v>
      </c>
      <c r="T221" t="str" cm="1">
        <f t="array" ref="T221">_xlfn.IFS(AND(Table1[[#This Row],[Salary]]&gt;=180000, Table1[[#This Row],[Salary]] &lt;=500000),"Low (180k-500k)", AND(Table1[[#This Row],[Salary]]&gt;500000, Table1[[#This Row],[Salary]]&lt;=800000), "Medium (501k-800k)", AND(Table1[[#This Row],[Salary]]&gt;800000, Table1[[#This Row],[Salary]]&lt;1200000), "High (801k - 1.2m)")</f>
        <v>High (801k - 1.2m)</v>
      </c>
    </row>
    <row r="222" spans="1:20" x14ac:dyDescent="0.2">
      <c r="A222">
        <v>221</v>
      </c>
      <c r="B222" t="s">
        <v>40</v>
      </c>
      <c r="C222" t="s">
        <v>14</v>
      </c>
      <c r="D222">
        <v>26</v>
      </c>
      <c r="E222" t="s">
        <v>61</v>
      </c>
      <c r="F222" t="s">
        <v>22</v>
      </c>
      <c r="G222">
        <v>386791</v>
      </c>
      <c r="H222" t="s">
        <v>276</v>
      </c>
      <c r="J222" t="s">
        <v>18</v>
      </c>
      <c r="K222">
        <v>5</v>
      </c>
      <c r="L222">
        <v>41</v>
      </c>
      <c r="M222">
        <v>98</v>
      </c>
      <c r="N222">
        <f>IF(Table1[[#This Row],[Employment_Status]]="Exited",1,0)</f>
        <v>0</v>
      </c>
      <c r="O222" t="str" cm="1">
        <f t="array" ref="O222">_xlfn.IFS(AND(Table1[[#This Row],[Age]]&gt;=22,Table1[[#This Row],[Age]]&lt;=35),"22-35",AND(Table1[[#This Row],[Age]]&gt;=36,Table1[[#This Row],[Age]]&lt;=45),"36-45",AND(Table1[[#This Row],[Age]]&gt;=46,Table1[[#This Row],[Age]]&lt;=55),"46-55")</f>
        <v>22-35</v>
      </c>
      <c r="P222">
        <f>IF(Table1[[#This Row],[Employment_Status]]="active",1,0)</f>
        <v>1</v>
      </c>
      <c r="Q222">
        <v>1</v>
      </c>
      <c r="R222" s="6">
        <f ca="1">YEARFRAC(Table1[[#This Row],[Hire_Date]],IF(Table1[[#This Row],[Employment_Status]]="Exited",Table1[[#This Row],[Exit_Date]],TODAY()))</f>
        <v>4.5972222222222223</v>
      </c>
      <c r="S222" t="str" cm="1">
        <f t="array" aca="1" ref="S222" ca="1">_xlfn.IFS(AND(Table1[[#This Row],[Tenure]]&gt;=0,Table1[[#This Row],[Tenure]]&lt;=1),"0-1",AND(Table1[[#This Row],[Tenure]]&gt;1,Table1[[#This Row],[Tenure]]&lt;=3),"1-3",AND(Table1[[#This Row],[Tenure]]&gt;3,Table1[[#This Row],[Tenure]]&lt;=5),"3-5",AND(Table1[[#This Row],[Tenure]]&gt;5,Table1[[#This Row],[Tenure]]&lt;=8),"5-8")</f>
        <v>3-5</v>
      </c>
      <c r="T222" t="str" cm="1">
        <f t="array" ref="T222">_xlfn.IFS(AND(Table1[[#This Row],[Salary]]&gt;=180000, Table1[[#This Row],[Salary]] &lt;=500000),"Low (180k-500k)", AND(Table1[[#This Row],[Salary]]&gt;500000, Table1[[#This Row],[Salary]]&lt;=800000), "Medium (501k-800k)", AND(Table1[[#This Row],[Salary]]&gt;800000, Table1[[#This Row],[Salary]]&lt;1200000), "High (801k - 1.2m)")</f>
        <v>Low (180k-500k)</v>
      </c>
    </row>
    <row r="223" spans="1:20" x14ac:dyDescent="0.2">
      <c r="A223">
        <v>222</v>
      </c>
      <c r="B223" t="s">
        <v>19</v>
      </c>
      <c r="C223" t="s">
        <v>14</v>
      </c>
      <c r="D223">
        <v>49</v>
      </c>
      <c r="E223" t="s">
        <v>15</v>
      </c>
      <c r="F223" t="s">
        <v>16</v>
      </c>
      <c r="G223">
        <v>727256</v>
      </c>
      <c r="H223" t="s">
        <v>251</v>
      </c>
      <c r="J223" t="s">
        <v>18</v>
      </c>
      <c r="K223">
        <v>3</v>
      </c>
      <c r="L223">
        <v>8</v>
      </c>
      <c r="M223">
        <v>83</v>
      </c>
      <c r="N223">
        <f>IF(Table1[[#This Row],[Employment_Status]]="Exited",1,0)</f>
        <v>0</v>
      </c>
      <c r="O223" t="str" cm="1">
        <f t="array" ref="O223">_xlfn.IFS(AND(Table1[[#This Row],[Age]]&gt;=22,Table1[[#This Row],[Age]]&lt;=35),"22-35",AND(Table1[[#This Row],[Age]]&gt;=36,Table1[[#This Row],[Age]]&lt;=45),"36-45",AND(Table1[[#This Row],[Age]]&gt;=46,Table1[[#This Row],[Age]]&lt;=55),"46-55")</f>
        <v>46-55</v>
      </c>
      <c r="P223">
        <f>IF(Table1[[#This Row],[Employment_Status]]="active",1,0)</f>
        <v>1</v>
      </c>
      <c r="Q223">
        <v>1</v>
      </c>
      <c r="R223" s="6">
        <f ca="1">YEARFRAC(Table1[[#This Row],[Hire_Date]],IF(Table1[[#This Row],[Employment_Status]]="Exited",Table1[[#This Row],[Exit_Date]],TODAY()))</f>
        <v>3.1916666666666669</v>
      </c>
      <c r="S223" t="str" cm="1">
        <f t="array" aca="1" ref="S223" ca="1">_xlfn.IFS(AND(Table1[[#This Row],[Tenure]]&gt;=0,Table1[[#This Row],[Tenure]]&lt;=1),"0-1",AND(Table1[[#This Row],[Tenure]]&gt;1,Table1[[#This Row],[Tenure]]&lt;=3),"1-3",AND(Table1[[#This Row],[Tenure]]&gt;3,Table1[[#This Row],[Tenure]]&lt;=5),"3-5",AND(Table1[[#This Row],[Tenure]]&gt;5,Table1[[#This Row],[Tenure]]&lt;=8),"5-8")</f>
        <v>3-5</v>
      </c>
      <c r="T223" t="str" cm="1">
        <f t="array" ref="T223">_xlfn.IFS(AND(Table1[[#This Row],[Salary]]&gt;=180000, Table1[[#This Row],[Salary]] &lt;=500000),"Low (180k-500k)", AND(Table1[[#This Row],[Salary]]&gt;500000, Table1[[#This Row],[Salary]]&lt;=800000), "Medium (501k-800k)", AND(Table1[[#This Row],[Salary]]&gt;800000, Table1[[#This Row],[Salary]]&lt;1200000), "High (801k - 1.2m)")</f>
        <v>Medium (501k-800k)</v>
      </c>
    </row>
    <row r="224" spans="1:20" x14ac:dyDescent="0.2">
      <c r="A224">
        <v>223</v>
      </c>
      <c r="B224" t="s">
        <v>40</v>
      </c>
      <c r="C224" t="s">
        <v>20</v>
      </c>
      <c r="D224">
        <v>52</v>
      </c>
      <c r="E224" t="s">
        <v>21</v>
      </c>
      <c r="F224" t="s">
        <v>34</v>
      </c>
      <c r="G224">
        <v>399441</v>
      </c>
      <c r="H224" t="s">
        <v>39</v>
      </c>
      <c r="I224" t="s">
        <v>277</v>
      </c>
      <c r="J224" t="s">
        <v>55</v>
      </c>
      <c r="K224">
        <v>4</v>
      </c>
      <c r="L224">
        <v>42</v>
      </c>
      <c r="M224">
        <v>72</v>
      </c>
      <c r="N224">
        <f>IF(Table1[[#This Row],[Employment_Status]]="Exited",1,0)</f>
        <v>1</v>
      </c>
      <c r="O224" t="str" cm="1">
        <f t="array" ref="O224">_xlfn.IFS(AND(Table1[[#This Row],[Age]]&gt;=22,Table1[[#This Row],[Age]]&lt;=35),"22-35",AND(Table1[[#This Row],[Age]]&gt;=36,Table1[[#This Row],[Age]]&lt;=45),"36-45",AND(Table1[[#This Row],[Age]]&gt;=46,Table1[[#This Row],[Age]]&lt;=55),"46-55")</f>
        <v>46-55</v>
      </c>
      <c r="P224">
        <f>IF(Table1[[#This Row],[Employment_Status]]="active",1,0)</f>
        <v>0</v>
      </c>
      <c r="Q224">
        <v>1</v>
      </c>
      <c r="R224" s="6">
        <f ca="1">YEARFRAC(Table1[[#This Row],[Hire_Date]],IF(Table1[[#This Row],[Employment_Status]]="Exited",Table1[[#This Row],[Exit_Date]],TODAY()))</f>
        <v>3.2722222222222221</v>
      </c>
      <c r="S224" t="str" cm="1">
        <f t="array" aca="1" ref="S224" ca="1">_xlfn.IFS(AND(Table1[[#This Row],[Tenure]]&gt;=0,Table1[[#This Row],[Tenure]]&lt;=1),"0-1",AND(Table1[[#This Row],[Tenure]]&gt;1,Table1[[#This Row],[Tenure]]&lt;=3),"1-3",AND(Table1[[#This Row],[Tenure]]&gt;3,Table1[[#This Row],[Tenure]]&lt;=5),"3-5",AND(Table1[[#This Row],[Tenure]]&gt;5,Table1[[#This Row],[Tenure]]&lt;=8),"5-8")</f>
        <v>3-5</v>
      </c>
      <c r="T224" t="str" cm="1">
        <f t="array" ref="T224">_xlfn.IFS(AND(Table1[[#This Row],[Salary]]&gt;=180000, Table1[[#This Row],[Salary]] &lt;=500000),"Low (180k-500k)", AND(Table1[[#This Row],[Salary]]&gt;500000, Table1[[#This Row],[Salary]]&lt;=800000), "Medium (501k-800k)", AND(Table1[[#This Row],[Salary]]&gt;800000, Table1[[#This Row],[Salary]]&lt;1200000), "High (801k - 1.2m)")</f>
        <v>Low (180k-500k)</v>
      </c>
    </row>
    <row r="225" spans="1:20" x14ac:dyDescent="0.2">
      <c r="A225">
        <v>224</v>
      </c>
      <c r="B225" t="s">
        <v>75</v>
      </c>
      <c r="C225" t="s">
        <v>20</v>
      </c>
      <c r="D225">
        <v>30</v>
      </c>
      <c r="E225" t="s">
        <v>21</v>
      </c>
      <c r="F225" t="s">
        <v>34</v>
      </c>
      <c r="G225">
        <v>573997</v>
      </c>
      <c r="H225" t="s">
        <v>278</v>
      </c>
      <c r="J225" t="s">
        <v>18</v>
      </c>
      <c r="K225">
        <v>4</v>
      </c>
      <c r="L225">
        <v>37</v>
      </c>
      <c r="M225">
        <v>82</v>
      </c>
      <c r="N225">
        <f>IF(Table1[[#This Row],[Employment_Status]]="Exited",1,0)</f>
        <v>0</v>
      </c>
      <c r="O225" t="str" cm="1">
        <f t="array" ref="O225">_xlfn.IFS(AND(Table1[[#This Row],[Age]]&gt;=22,Table1[[#This Row],[Age]]&lt;=35),"22-35",AND(Table1[[#This Row],[Age]]&gt;=36,Table1[[#This Row],[Age]]&lt;=45),"36-45",AND(Table1[[#This Row],[Age]]&gt;=46,Table1[[#This Row],[Age]]&lt;=55),"46-55")</f>
        <v>22-35</v>
      </c>
      <c r="P225">
        <f>IF(Table1[[#This Row],[Employment_Status]]="active",1,0)</f>
        <v>1</v>
      </c>
      <c r="Q225">
        <v>1</v>
      </c>
      <c r="R225" s="6">
        <f ca="1">YEARFRAC(Table1[[#This Row],[Hire_Date]],IF(Table1[[#This Row],[Employment_Status]]="Exited",Table1[[#This Row],[Exit_Date]],TODAY()))</f>
        <v>3.088888888888889</v>
      </c>
      <c r="S225" t="str" cm="1">
        <f t="array" aca="1" ref="S225" ca="1">_xlfn.IFS(AND(Table1[[#This Row],[Tenure]]&gt;=0,Table1[[#This Row],[Tenure]]&lt;=1),"0-1",AND(Table1[[#This Row],[Tenure]]&gt;1,Table1[[#This Row],[Tenure]]&lt;=3),"1-3",AND(Table1[[#This Row],[Tenure]]&gt;3,Table1[[#This Row],[Tenure]]&lt;=5),"3-5",AND(Table1[[#This Row],[Tenure]]&gt;5,Table1[[#This Row],[Tenure]]&lt;=8),"5-8")</f>
        <v>3-5</v>
      </c>
      <c r="T225" t="str" cm="1">
        <f t="array" ref="T225">_xlfn.IFS(AND(Table1[[#This Row],[Salary]]&gt;=180000, Table1[[#This Row],[Salary]] &lt;=500000),"Low (180k-500k)", AND(Table1[[#This Row],[Salary]]&gt;500000, Table1[[#This Row],[Salary]]&lt;=800000), "Medium (501k-800k)", AND(Table1[[#This Row],[Salary]]&gt;800000, Table1[[#This Row],[Salary]]&lt;1200000), "High (801k - 1.2m)")</f>
        <v>Medium (501k-800k)</v>
      </c>
    </row>
    <row r="226" spans="1:20" x14ac:dyDescent="0.2">
      <c r="A226">
        <v>225</v>
      </c>
      <c r="B226" t="s">
        <v>75</v>
      </c>
      <c r="C226" t="s">
        <v>20</v>
      </c>
      <c r="D226">
        <v>30</v>
      </c>
      <c r="E226" t="s">
        <v>15</v>
      </c>
      <c r="F226" t="s">
        <v>34</v>
      </c>
      <c r="G226">
        <v>774320</v>
      </c>
      <c r="H226" t="s">
        <v>279</v>
      </c>
      <c r="J226" t="s">
        <v>18</v>
      </c>
      <c r="K226">
        <v>2</v>
      </c>
      <c r="L226">
        <v>25</v>
      </c>
      <c r="M226">
        <v>69</v>
      </c>
      <c r="N226">
        <f>IF(Table1[[#This Row],[Employment_Status]]="Exited",1,0)</f>
        <v>0</v>
      </c>
      <c r="O226" t="str" cm="1">
        <f t="array" ref="O226">_xlfn.IFS(AND(Table1[[#This Row],[Age]]&gt;=22,Table1[[#This Row],[Age]]&lt;=35),"22-35",AND(Table1[[#This Row],[Age]]&gt;=36,Table1[[#This Row],[Age]]&lt;=45),"36-45",AND(Table1[[#This Row],[Age]]&gt;=46,Table1[[#This Row],[Age]]&lt;=55),"46-55")</f>
        <v>22-35</v>
      </c>
      <c r="P226">
        <f>IF(Table1[[#This Row],[Employment_Status]]="active",1,0)</f>
        <v>1</v>
      </c>
      <c r="Q226">
        <v>1</v>
      </c>
      <c r="R226" s="6">
        <f ca="1">YEARFRAC(Table1[[#This Row],[Hire_Date]],IF(Table1[[#This Row],[Employment_Status]]="Exited",Table1[[#This Row],[Exit_Date]],TODAY()))</f>
        <v>7.0333333333333332</v>
      </c>
      <c r="S226" t="str" cm="1">
        <f t="array" aca="1" ref="S226" ca="1">_xlfn.IFS(AND(Table1[[#This Row],[Tenure]]&gt;=0,Table1[[#This Row],[Tenure]]&lt;=1),"0-1",AND(Table1[[#This Row],[Tenure]]&gt;1,Table1[[#This Row],[Tenure]]&lt;=3),"1-3",AND(Table1[[#This Row],[Tenure]]&gt;3,Table1[[#This Row],[Tenure]]&lt;=5),"3-5",AND(Table1[[#This Row],[Tenure]]&gt;5,Table1[[#This Row],[Tenure]]&lt;=8),"5-8")</f>
        <v>5-8</v>
      </c>
      <c r="T226" t="str" cm="1">
        <f t="array" ref="T226">_xlfn.IFS(AND(Table1[[#This Row],[Salary]]&gt;=180000, Table1[[#This Row],[Salary]] &lt;=500000),"Low (180k-500k)", AND(Table1[[#This Row],[Salary]]&gt;500000, Table1[[#This Row],[Salary]]&lt;=800000), "Medium (501k-800k)", AND(Table1[[#This Row],[Salary]]&gt;800000, Table1[[#This Row],[Salary]]&lt;1200000), "High (801k - 1.2m)")</f>
        <v>Medium (501k-800k)</v>
      </c>
    </row>
    <row r="227" spans="1:20" x14ac:dyDescent="0.2">
      <c r="A227">
        <v>226</v>
      </c>
      <c r="B227" t="s">
        <v>58</v>
      </c>
      <c r="C227" t="s">
        <v>14</v>
      </c>
      <c r="D227">
        <v>28</v>
      </c>
      <c r="E227" t="s">
        <v>61</v>
      </c>
      <c r="F227" t="s">
        <v>22</v>
      </c>
      <c r="G227">
        <v>199936</v>
      </c>
      <c r="H227" t="s">
        <v>280</v>
      </c>
      <c r="J227" t="s">
        <v>18</v>
      </c>
      <c r="K227">
        <v>3</v>
      </c>
      <c r="L227">
        <v>0</v>
      </c>
      <c r="M227">
        <v>100</v>
      </c>
      <c r="N227">
        <f>IF(Table1[[#This Row],[Employment_Status]]="Exited",1,0)</f>
        <v>0</v>
      </c>
      <c r="O227" t="str" cm="1">
        <f t="array" ref="O227">_xlfn.IFS(AND(Table1[[#This Row],[Age]]&gt;=22,Table1[[#This Row],[Age]]&lt;=35),"22-35",AND(Table1[[#This Row],[Age]]&gt;=36,Table1[[#This Row],[Age]]&lt;=45),"36-45",AND(Table1[[#This Row],[Age]]&gt;=46,Table1[[#This Row],[Age]]&lt;=55),"46-55")</f>
        <v>22-35</v>
      </c>
      <c r="P227">
        <f>IF(Table1[[#This Row],[Employment_Status]]="active",1,0)</f>
        <v>1</v>
      </c>
      <c r="Q227">
        <v>1</v>
      </c>
      <c r="R227" s="6">
        <f ca="1">YEARFRAC(Table1[[#This Row],[Hire_Date]],IF(Table1[[#This Row],[Employment_Status]]="Exited",Table1[[#This Row],[Exit_Date]],TODAY()))</f>
        <v>2.2777777777777777</v>
      </c>
      <c r="S227" t="str" cm="1">
        <f t="array" aca="1" ref="S227" ca="1">_xlfn.IFS(AND(Table1[[#This Row],[Tenure]]&gt;=0,Table1[[#This Row],[Tenure]]&lt;=1),"0-1",AND(Table1[[#This Row],[Tenure]]&gt;1,Table1[[#This Row],[Tenure]]&lt;=3),"1-3",AND(Table1[[#This Row],[Tenure]]&gt;3,Table1[[#This Row],[Tenure]]&lt;=5),"3-5",AND(Table1[[#This Row],[Tenure]]&gt;5,Table1[[#This Row],[Tenure]]&lt;=8),"5-8")</f>
        <v>1-3</v>
      </c>
      <c r="T227" t="str" cm="1">
        <f t="array" ref="T227">_xlfn.IFS(AND(Table1[[#This Row],[Salary]]&gt;=180000, Table1[[#This Row],[Salary]] &lt;=500000),"Low (180k-500k)", AND(Table1[[#This Row],[Salary]]&gt;500000, Table1[[#This Row],[Salary]]&lt;=800000), "Medium (501k-800k)", AND(Table1[[#This Row],[Salary]]&gt;800000, Table1[[#This Row],[Salary]]&lt;1200000), "High (801k - 1.2m)")</f>
        <v>Low (180k-500k)</v>
      </c>
    </row>
    <row r="228" spans="1:20" x14ac:dyDescent="0.2">
      <c r="A228">
        <v>227</v>
      </c>
      <c r="B228" t="s">
        <v>36</v>
      </c>
      <c r="C228" t="s">
        <v>14</v>
      </c>
      <c r="D228">
        <v>48</v>
      </c>
      <c r="E228" t="s">
        <v>45</v>
      </c>
      <c r="F228" t="s">
        <v>27</v>
      </c>
      <c r="G228">
        <v>379095</v>
      </c>
      <c r="H228" t="s">
        <v>281</v>
      </c>
      <c r="J228" t="s">
        <v>18</v>
      </c>
      <c r="K228">
        <v>2</v>
      </c>
      <c r="L228">
        <v>1</v>
      </c>
      <c r="M228">
        <v>83</v>
      </c>
      <c r="N228">
        <f>IF(Table1[[#This Row],[Employment_Status]]="Exited",1,0)</f>
        <v>0</v>
      </c>
      <c r="O228" t="str" cm="1">
        <f t="array" ref="O228">_xlfn.IFS(AND(Table1[[#This Row],[Age]]&gt;=22,Table1[[#This Row],[Age]]&lt;=35),"22-35",AND(Table1[[#This Row],[Age]]&gt;=36,Table1[[#This Row],[Age]]&lt;=45),"36-45",AND(Table1[[#This Row],[Age]]&gt;=46,Table1[[#This Row],[Age]]&lt;=55),"46-55")</f>
        <v>46-55</v>
      </c>
      <c r="P228">
        <f>IF(Table1[[#This Row],[Employment_Status]]="active",1,0)</f>
        <v>1</v>
      </c>
      <c r="Q228">
        <v>1</v>
      </c>
      <c r="R228" s="6">
        <f ca="1">YEARFRAC(Table1[[#This Row],[Hire_Date]],IF(Table1[[#This Row],[Employment_Status]]="Exited",Table1[[#This Row],[Exit_Date]],TODAY()))</f>
        <v>6.5055555555555555</v>
      </c>
      <c r="S228" t="str" cm="1">
        <f t="array" aca="1" ref="S228" ca="1">_xlfn.IFS(AND(Table1[[#This Row],[Tenure]]&gt;=0,Table1[[#This Row],[Tenure]]&lt;=1),"0-1",AND(Table1[[#This Row],[Tenure]]&gt;1,Table1[[#This Row],[Tenure]]&lt;=3),"1-3",AND(Table1[[#This Row],[Tenure]]&gt;3,Table1[[#This Row],[Tenure]]&lt;=5),"3-5",AND(Table1[[#This Row],[Tenure]]&gt;5,Table1[[#This Row],[Tenure]]&lt;=8),"5-8")</f>
        <v>5-8</v>
      </c>
      <c r="T228" t="str" cm="1">
        <f t="array" ref="T228">_xlfn.IFS(AND(Table1[[#This Row],[Salary]]&gt;=180000, Table1[[#This Row],[Salary]] &lt;=500000),"Low (180k-500k)", AND(Table1[[#This Row],[Salary]]&gt;500000, Table1[[#This Row],[Salary]]&lt;=800000), "Medium (501k-800k)", AND(Table1[[#This Row],[Salary]]&gt;800000, Table1[[#This Row],[Salary]]&lt;1200000), "High (801k - 1.2m)")</f>
        <v>Low (180k-500k)</v>
      </c>
    </row>
    <row r="229" spans="1:20" x14ac:dyDescent="0.2">
      <c r="A229">
        <v>228</v>
      </c>
      <c r="B229" t="s">
        <v>36</v>
      </c>
      <c r="C229" t="s">
        <v>14</v>
      </c>
      <c r="D229">
        <v>36</v>
      </c>
      <c r="E229" t="s">
        <v>21</v>
      </c>
      <c r="F229" t="s">
        <v>16</v>
      </c>
      <c r="G229">
        <v>691115</v>
      </c>
      <c r="H229" t="s">
        <v>282</v>
      </c>
      <c r="J229" t="s">
        <v>18</v>
      </c>
      <c r="K229">
        <v>4</v>
      </c>
      <c r="L229">
        <v>18</v>
      </c>
      <c r="M229">
        <v>65</v>
      </c>
      <c r="N229">
        <f>IF(Table1[[#This Row],[Employment_Status]]="Exited",1,0)</f>
        <v>0</v>
      </c>
      <c r="O229" t="str" cm="1">
        <f t="array" ref="O229">_xlfn.IFS(AND(Table1[[#This Row],[Age]]&gt;=22,Table1[[#This Row],[Age]]&lt;=35),"22-35",AND(Table1[[#This Row],[Age]]&gt;=36,Table1[[#This Row],[Age]]&lt;=45),"36-45",AND(Table1[[#This Row],[Age]]&gt;=46,Table1[[#This Row],[Age]]&lt;=55),"46-55")</f>
        <v>36-45</v>
      </c>
      <c r="P229">
        <f>IF(Table1[[#This Row],[Employment_Status]]="active",1,0)</f>
        <v>1</v>
      </c>
      <c r="Q229">
        <v>1</v>
      </c>
      <c r="R229" s="6">
        <f ca="1">YEARFRAC(Table1[[#This Row],[Hire_Date]],IF(Table1[[#This Row],[Employment_Status]]="Exited",Table1[[#This Row],[Exit_Date]],TODAY()))</f>
        <v>4.9833333333333334</v>
      </c>
      <c r="S229" t="str" cm="1">
        <f t="array" aca="1" ref="S229" ca="1">_xlfn.IFS(AND(Table1[[#This Row],[Tenure]]&gt;=0,Table1[[#This Row],[Tenure]]&lt;=1),"0-1",AND(Table1[[#This Row],[Tenure]]&gt;1,Table1[[#This Row],[Tenure]]&lt;=3),"1-3",AND(Table1[[#This Row],[Tenure]]&gt;3,Table1[[#This Row],[Tenure]]&lt;=5),"3-5",AND(Table1[[#This Row],[Tenure]]&gt;5,Table1[[#This Row],[Tenure]]&lt;=8),"5-8")</f>
        <v>3-5</v>
      </c>
      <c r="T229" t="str" cm="1">
        <f t="array" ref="T229">_xlfn.IFS(AND(Table1[[#This Row],[Salary]]&gt;=180000, Table1[[#This Row],[Salary]] &lt;=500000),"Low (180k-500k)", AND(Table1[[#This Row],[Salary]]&gt;500000, Table1[[#This Row],[Salary]]&lt;=800000), "Medium (501k-800k)", AND(Table1[[#This Row],[Salary]]&gt;800000, Table1[[#This Row],[Salary]]&lt;1200000), "High (801k - 1.2m)")</f>
        <v>Medium (501k-800k)</v>
      </c>
    </row>
    <row r="230" spans="1:20" x14ac:dyDescent="0.2">
      <c r="A230">
        <v>229</v>
      </c>
      <c r="B230" t="s">
        <v>47</v>
      </c>
      <c r="C230" t="s">
        <v>20</v>
      </c>
      <c r="D230">
        <v>28</v>
      </c>
      <c r="E230" t="s">
        <v>61</v>
      </c>
      <c r="F230" t="s">
        <v>34</v>
      </c>
      <c r="G230">
        <v>393889</v>
      </c>
      <c r="H230" t="s">
        <v>283</v>
      </c>
      <c r="J230" t="s">
        <v>18</v>
      </c>
      <c r="K230">
        <v>4</v>
      </c>
      <c r="L230">
        <v>28</v>
      </c>
      <c r="M230">
        <v>79</v>
      </c>
      <c r="N230">
        <f>IF(Table1[[#This Row],[Employment_Status]]="Exited",1,0)</f>
        <v>0</v>
      </c>
      <c r="O230" t="str" cm="1">
        <f t="array" ref="O230">_xlfn.IFS(AND(Table1[[#This Row],[Age]]&gt;=22,Table1[[#This Row],[Age]]&lt;=35),"22-35",AND(Table1[[#This Row],[Age]]&gt;=36,Table1[[#This Row],[Age]]&lt;=45),"36-45",AND(Table1[[#This Row],[Age]]&gt;=46,Table1[[#This Row],[Age]]&lt;=55),"46-55")</f>
        <v>22-35</v>
      </c>
      <c r="P230">
        <f>IF(Table1[[#This Row],[Employment_Status]]="active",1,0)</f>
        <v>1</v>
      </c>
      <c r="Q230">
        <v>1</v>
      </c>
      <c r="R230" s="6">
        <f ca="1">YEARFRAC(Table1[[#This Row],[Hire_Date]],IF(Table1[[#This Row],[Employment_Status]]="Exited",Table1[[#This Row],[Exit_Date]],TODAY()))</f>
        <v>4.5944444444444441</v>
      </c>
      <c r="S230" t="str" cm="1">
        <f t="array" aca="1" ref="S230" ca="1">_xlfn.IFS(AND(Table1[[#This Row],[Tenure]]&gt;=0,Table1[[#This Row],[Tenure]]&lt;=1),"0-1",AND(Table1[[#This Row],[Tenure]]&gt;1,Table1[[#This Row],[Tenure]]&lt;=3),"1-3",AND(Table1[[#This Row],[Tenure]]&gt;3,Table1[[#This Row],[Tenure]]&lt;=5),"3-5",AND(Table1[[#This Row],[Tenure]]&gt;5,Table1[[#This Row],[Tenure]]&lt;=8),"5-8")</f>
        <v>3-5</v>
      </c>
      <c r="T230" t="str" cm="1">
        <f t="array" ref="T230">_xlfn.IFS(AND(Table1[[#This Row],[Salary]]&gt;=180000, Table1[[#This Row],[Salary]] &lt;=500000),"Low (180k-500k)", AND(Table1[[#This Row],[Salary]]&gt;500000, Table1[[#This Row],[Salary]]&lt;=800000), "Medium (501k-800k)", AND(Table1[[#This Row],[Salary]]&gt;800000, Table1[[#This Row],[Salary]]&lt;1200000), "High (801k - 1.2m)")</f>
        <v>Low (180k-500k)</v>
      </c>
    </row>
    <row r="231" spans="1:20" x14ac:dyDescent="0.2">
      <c r="A231">
        <v>230</v>
      </c>
      <c r="B231" t="s">
        <v>40</v>
      </c>
      <c r="C231" t="s">
        <v>14</v>
      </c>
      <c r="D231">
        <v>24</v>
      </c>
      <c r="E231" t="s">
        <v>61</v>
      </c>
      <c r="F231" t="s">
        <v>16</v>
      </c>
      <c r="G231">
        <v>259800</v>
      </c>
      <c r="H231" t="s">
        <v>284</v>
      </c>
      <c r="I231" t="s">
        <v>285</v>
      </c>
      <c r="J231" t="s">
        <v>55</v>
      </c>
      <c r="K231">
        <v>4</v>
      </c>
      <c r="L231">
        <v>45</v>
      </c>
      <c r="M231">
        <v>69</v>
      </c>
      <c r="N231">
        <f>IF(Table1[[#This Row],[Employment_Status]]="Exited",1,0)</f>
        <v>1</v>
      </c>
      <c r="O231" t="str" cm="1">
        <f t="array" ref="O231">_xlfn.IFS(AND(Table1[[#This Row],[Age]]&gt;=22,Table1[[#This Row],[Age]]&lt;=35),"22-35",AND(Table1[[#This Row],[Age]]&gt;=36,Table1[[#This Row],[Age]]&lt;=45),"36-45",AND(Table1[[#This Row],[Age]]&gt;=46,Table1[[#This Row],[Age]]&lt;=55),"46-55")</f>
        <v>22-35</v>
      </c>
      <c r="P231">
        <f>IF(Table1[[#This Row],[Employment_Status]]="active",1,0)</f>
        <v>0</v>
      </c>
      <c r="Q231">
        <v>1</v>
      </c>
      <c r="R231" s="6">
        <f ca="1">YEARFRAC(Table1[[#This Row],[Hire_Date]],IF(Table1[[#This Row],[Employment_Status]]="Exited",Table1[[#This Row],[Exit_Date]],TODAY()))</f>
        <v>1.3694444444444445</v>
      </c>
      <c r="S231" t="str" cm="1">
        <f t="array" aca="1" ref="S231" ca="1">_xlfn.IFS(AND(Table1[[#This Row],[Tenure]]&gt;=0,Table1[[#This Row],[Tenure]]&lt;=1),"0-1",AND(Table1[[#This Row],[Tenure]]&gt;1,Table1[[#This Row],[Tenure]]&lt;=3),"1-3",AND(Table1[[#This Row],[Tenure]]&gt;3,Table1[[#This Row],[Tenure]]&lt;=5),"3-5",AND(Table1[[#This Row],[Tenure]]&gt;5,Table1[[#This Row],[Tenure]]&lt;=8),"5-8")</f>
        <v>1-3</v>
      </c>
      <c r="T231" t="str" cm="1">
        <f t="array" ref="T231">_xlfn.IFS(AND(Table1[[#This Row],[Salary]]&gt;=180000, Table1[[#This Row],[Salary]] &lt;=500000),"Low (180k-500k)", AND(Table1[[#This Row],[Salary]]&gt;500000, Table1[[#This Row],[Salary]]&lt;=800000), "Medium (501k-800k)", AND(Table1[[#This Row],[Salary]]&gt;800000, Table1[[#This Row],[Salary]]&lt;1200000), "High (801k - 1.2m)")</f>
        <v>Low (180k-500k)</v>
      </c>
    </row>
    <row r="232" spans="1:20" x14ac:dyDescent="0.2">
      <c r="A232">
        <v>231</v>
      </c>
      <c r="B232" t="s">
        <v>13</v>
      </c>
      <c r="C232" t="s">
        <v>20</v>
      </c>
      <c r="D232">
        <v>36</v>
      </c>
      <c r="E232" t="s">
        <v>15</v>
      </c>
      <c r="F232" t="s">
        <v>27</v>
      </c>
      <c r="G232">
        <v>1173142</v>
      </c>
      <c r="H232" t="s">
        <v>286</v>
      </c>
      <c r="I232" t="s">
        <v>287</v>
      </c>
      <c r="J232" t="s">
        <v>55</v>
      </c>
      <c r="K232">
        <v>5</v>
      </c>
      <c r="L232">
        <v>38</v>
      </c>
      <c r="M232">
        <v>97</v>
      </c>
      <c r="N232">
        <f>IF(Table1[[#This Row],[Employment_Status]]="Exited",1,0)</f>
        <v>1</v>
      </c>
      <c r="O232" t="str" cm="1">
        <f t="array" ref="O232">_xlfn.IFS(AND(Table1[[#This Row],[Age]]&gt;=22,Table1[[#This Row],[Age]]&lt;=35),"22-35",AND(Table1[[#This Row],[Age]]&gt;=36,Table1[[#This Row],[Age]]&lt;=45),"36-45",AND(Table1[[#This Row],[Age]]&gt;=46,Table1[[#This Row],[Age]]&lt;=55),"46-55")</f>
        <v>36-45</v>
      </c>
      <c r="P232">
        <f>IF(Table1[[#This Row],[Employment_Status]]="active",1,0)</f>
        <v>0</v>
      </c>
      <c r="Q232">
        <v>1</v>
      </c>
      <c r="R232" s="6">
        <f ca="1">YEARFRAC(Table1[[#This Row],[Hire_Date]],IF(Table1[[#This Row],[Employment_Status]]="Exited",Table1[[#This Row],[Exit_Date]],TODAY()))</f>
        <v>3.2388888888888889</v>
      </c>
      <c r="S232" t="str" cm="1">
        <f t="array" aca="1" ref="S232" ca="1">_xlfn.IFS(AND(Table1[[#This Row],[Tenure]]&gt;=0,Table1[[#This Row],[Tenure]]&lt;=1),"0-1",AND(Table1[[#This Row],[Tenure]]&gt;1,Table1[[#This Row],[Tenure]]&lt;=3),"1-3",AND(Table1[[#This Row],[Tenure]]&gt;3,Table1[[#This Row],[Tenure]]&lt;=5),"3-5",AND(Table1[[#This Row],[Tenure]]&gt;5,Table1[[#This Row],[Tenure]]&lt;=8),"5-8")</f>
        <v>3-5</v>
      </c>
      <c r="T232" t="str" cm="1">
        <f t="array" ref="T232">_xlfn.IFS(AND(Table1[[#This Row],[Salary]]&gt;=180000, Table1[[#This Row],[Salary]] &lt;=500000),"Low (180k-500k)", AND(Table1[[#This Row],[Salary]]&gt;500000, Table1[[#This Row],[Salary]]&lt;=800000), "Medium (501k-800k)", AND(Table1[[#This Row],[Salary]]&gt;800000, Table1[[#This Row],[Salary]]&lt;1200000), "High (801k - 1.2m)")</f>
        <v>High (801k - 1.2m)</v>
      </c>
    </row>
    <row r="233" spans="1:20" x14ac:dyDescent="0.2">
      <c r="A233">
        <v>232</v>
      </c>
      <c r="B233" t="s">
        <v>33</v>
      </c>
      <c r="C233" t="s">
        <v>14</v>
      </c>
      <c r="D233">
        <v>27</v>
      </c>
      <c r="E233" t="s">
        <v>15</v>
      </c>
      <c r="F233" t="s">
        <v>16</v>
      </c>
      <c r="G233">
        <v>1034866</v>
      </c>
      <c r="H233" t="s">
        <v>288</v>
      </c>
      <c r="J233" t="s">
        <v>18</v>
      </c>
      <c r="K233">
        <v>4</v>
      </c>
      <c r="L233">
        <v>41</v>
      </c>
      <c r="M233">
        <v>100</v>
      </c>
      <c r="N233">
        <f>IF(Table1[[#This Row],[Employment_Status]]="Exited",1,0)</f>
        <v>0</v>
      </c>
      <c r="O233" t="str" cm="1">
        <f t="array" ref="O233">_xlfn.IFS(AND(Table1[[#This Row],[Age]]&gt;=22,Table1[[#This Row],[Age]]&lt;=35),"22-35",AND(Table1[[#This Row],[Age]]&gt;=36,Table1[[#This Row],[Age]]&lt;=45),"36-45",AND(Table1[[#This Row],[Age]]&gt;=46,Table1[[#This Row],[Age]]&lt;=55),"46-55")</f>
        <v>22-35</v>
      </c>
      <c r="P233">
        <f>IF(Table1[[#This Row],[Employment_Status]]="active",1,0)</f>
        <v>1</v>
      </c>
      <c r="Q233">
        <v>1</v>
      </c>
      <c r="R233" s="6">
        <f ca="1">YEARFRAC(Table1[[#This Row],[Hire_Date]],IF(Table1[[#This Row],[Employment_Status]]="Exited",Table1[[#This Row],[Exit_Date]],TODAY()))</f>
        <v>5.2388888888888889</v>
      </c>
      <c r="S233" t="str" cm="1">
        <f t="array" aca="1" ref="S233" ca="1">_xlfn.IFS(AND(Table1[[#This Row],[Tenure]]&gt;=0,Table1[[#This Row],[Tenure]]&lt;=1),"0-1",AND(Table1[[#This Row],[Tenure]]&gt;1,Table1[[#This Row],[Tenure]]&lt;=3),"1-3",AND(Table1[[#This Row],[Tenure]]&gt;3,Table1[[#This Row],[Tenure]]&lt;=5),"3-5",AND(Table1[[#This Row],[Tenure]]&gt;5,Table1[[#This Row],[Tenure]]&lt;=8),"5-8")</f>
        <v>5-8</v>
      </c>
      <c r="T233" t="str" cm="1">
        <f t="array" ref="T233">_xlfn.IFS(AND(Table1[[#This Row],[Salary]]&gt;=180000, Table1[[#This Row],[Salary]] &lt;=500000),"Low (180k-500k)", AND(Table1[[#This Row],[Salary]]&gt;500000, Table1[[#This Row],[Salary]]&lt;=800000), "Medium (501k-800k)", AND(Table1[[#This Row],[Salary]]&gt;800000, Table1[[#This Row],[Salary]]&lt;1200000), "High (801k - 1.2m)")</f>
        <v>High (801k - 1.2m)</v>
      </c>
    </row>
    <row r="234" spans="1:20" x14ac:dyDescent="0.2">
      <c r="A234">
        <v>233</v>
      </c>
      <c r="B234" t="s">
        <v>26</v>
      </c>
      <c r="C234" t="s">
        <v>14</v>
      </c>
      <c r="D234">
        <v>35</v>
      </c>
      <c r="E234" t="s">
        <v>15</v>
      </c>
      <c r="F234" t="s">
        <v>34</v>
      </c>
      <c r="G234">
        <v>902645</v>
      </c>
      <c r="H234" t="s">
        <v>289</v>
      </c>
      <c r="J234" t="s">
        <v>18</v>
      </c>
      <c r="K234">
        <v>5</v>
      </c>
      <c r="L234">
        <v>36</v>
      </c>
      <c r="M234">
        <v>65</v>
      </c>
      <c r="N234">
        <f>IF(Table1[[#This Row],[Employment_Status]]="Exited",1,0)</f>
        <v>0</v>
      </c>
      <c r="O234" t="str" cm="1">
        <f t="array" ref="O234">_xlfn.IFS(AND(Table1[[#This Row],[Age]]&gt;=22,Table1[[#This Row],[Age]]&lt;=35),"22-35",AND(Table1[[#This Row],[Age]]&gt;=36,Table1[[#This Row],[Age]]&lt;=45),"36-45",AND(Table1[[#This Row],[Age]]&gt;=46,Table1[[#This Row],[Age]]&lt;=55),"46-55")</f>
        <v>22-35</v>
      </c>
      <c r="P234">
        <f>IF(Table1[[#This Row],[Employment_Status]]="active",1,0)</f>
        <v>1</v>
      </c>
      <c r="Q234">
        <v>1</v>
      </c>
      <c r="R234" s="6">
        <f ca="1">YEARFRAC(Table1[[#This Row],[Hire_Date]],IF(Table1[[#This Row],[Employment_Status]]="Exited",Table1[[#This Row],[Exit_Date]],TODAY()))</f>
        <v>7.0194444444444448</v>
      </c>
      <c r="S234" t="str" cm="1">
        <f t="array" aca="1" ref="S234" ca="1">_xlfn.IFS(AND(Table1[[#This Row],[Tenure]]&gt;=0,Table1[[#This Row],[Tenure]]&lt;=1),"0-1",AND(Table1[[#This Row],[Tenure]]&gt;1,Table1[[#This Row],[Tenure]]&lt;=3),"1-3",AND(Table1[[#This Row],[Tenure]]&gt;3,Table1[[#This Row],[Tenure]]&lt;=5),"3-5",AND(Table1[[#This Row],[Tenure]]&gt;5,Table1[[#This Row],[Tenure]]&lt;=8),"5-8")</f>
        <v>5-8</v>
      </c>
      <c r="T234" t="str" cm="1">
        <f t="array" ref="T234">_xlfn.IFS(AND(Table1[[#This Row],[Salary]]&gt;=180000, Table1[[#This Row],[Salary]] &lt;=500000),"Low (180k-500k)", AND(Table1[[#This Row],[Salary]]&gt;500000, Table1[[#This Row],[Salary]]&lt;=800000), "Medium (501k-800k)", AND(Table1[[#This Row],[Salary]]&gt;800000, Table1[[#This Row],[Salary]]&lt;1200000), "High (801k - 1.2m)")</f>
        <v>High (801k - 1.2m)</v>
      </c>
    </row>
    <row r="235" spans="1:20" x14ac:dyDescent="0.2">
      <c r="A235">
        <v>234</v>
      </c>
      <c r="B235" t="s">
        <v>29</v>
      </c>
      <c r="C235" t="s">
        <v>14</v>
      </c>
      <c r="D235">
        <v>35</v>
      </c>
      <c r="E235" t="s">
        <v>21</v>
      </c>
      <c r="F235" t="s">
        <v>16</v>
      </c>
      <c r="G235">
        <v>314849</v>
      </c>
      <c r="H235" t="s">
        <v>290</v>
      </c>
      <c r="J235" t="s">
        <v>18</v>
      </c>
      <c r="K235">
        <v>2</v>
      </c>
      <c r="L235">
        <v>18</v>
      </c>
      <c r="M235">
        <v>68</v>
      </c>
      <c r="N235">
        <f>IF(Table1[[#This Row],[Employment_Status]]="Exited",1,0)</f>
        <v>0</v>
      </c>
      <c r="O235" t="str" cm="1">
        <f t="array" ref="O235">_xlfn.IFS(AND(Table1[[#This Row],[Age]]&gt;=22,Table1[[#This Row],[Age]]&lt;=35),"22-35",AND(Table1[[#This Row],[Age]]&gt;=36,Table1[[#This Row],[Age]]&lt;=45),"36-45",AND(Table1[[#This Row],[Age]]&gt;=46,Table1[[#This Row],[Age]]&lt;=55),"46-55")</f>
        <v>22-35</v>
      </c>
      <c r="P235">
        <f>IF(Table1[[#This Row],[Employment_Status]]="active",1,0)</f>
        <v>1</v>
      </c>
      <c r="Q235">
        <v>1</v>
      </c>
      <c r="R235" s="6">
        <f ca="1">YEARFRAC(Table1[[#This Row],[Hire_Date]],IF(Table1[[#This Row],[Employment_Status]]="Exited",Table1[[#This Row],[Exit_Date]],TODAY()))</f>
        <v>7.1055555555555552</v>
      </c>
      <c r="S235" t="str" cm="1">
        <f t="array" aca="1" ref="S235" ca="1">_xlfn.IFS(AND(Table1[[#This Row],[Tenure]]&gt;=0,Table1[[#This Row],[Tenure]]&lt;=1),"0-1",AND(Table1[[#This Row],[Tenure]]&gt;1,Table1[[#This Row],[Tenure]]&lt;=3),"1-3",AND(Table1[[#This Row],[Tenure]]&gt;3,Table1[[#This Row],[Tenure]]&lt;=5),"3-5",AND(Table1[[#This Row],[Tenure]]&gt;5,Table1[[#This Row],[Tenure]]&lt;=8),"5-8")</f>
        <v>5-8</v>
      </c>
      <c r="T235" t="str" cm="1">
        <f t="array" ref="T235">_xlfn.IFS(AND(Table1[[#This Row],[Salary]]&gt;=180000, Table1[[#This Row],[Salary]] &lt;=500000),"Low (180k-500k)", AND(Table1[[#This Row],[Salary]]&gt;500000, Table1[[#This Row],[Salary]]&lt;=800000), "Medium (501k-800k)", AND(Table1[[#This Row],[Salary]]&gt;800000, Table1[[#This Row],[Salary]]&lt;1200000), "High (801k - 1.2m)")</f>
        <v>Low (180k-500k)</v>
      </c>
    </row>
    <row r="236" spans="1:20" x14ac:dyDescent="0.2">
      <c r="A236">
        <v>235</v>
      </c>
      <c r="B236" t="s">
        <v>13</v>
      </c>
      <c r="C236" t="s">
        <v>14</v>
      </c>
      <c r="D236">
        <v>36</v>
      </c>
      <c r="E236" t="s">
        <v>21</v>
      </c>
      <c r="F236" t="s">
        <v>16</v>
      </c>
      <c r="G236">
        <v>673450</v>
      </c>
      <c r="H236" t="s">
        <v>291</v>
      </c>
      <c r="I236" t="s">
        <v>292</v>
      </c>
      <c r="J236" t="s">
        <v>55</v>
      </c>
      <c r="K236">
        <v>4</v>
      </c>
      <c r="L236">
        <v>34</v>
      </c>
      <c r="M236">
        <v>80</v>
      </c>
      <c r="N236">
        <f>IF(Table1[[#This Row],[Employment_Status]]="Exited",1,0)</f>
        <v>1</v>
      </c>
      <c r="O236" t="str" cm="1">
        <f t="array" ref="O236">_xlfn.IFS(AND(Table1[[#This Row],[Age]]&gt;=22,Table1[[#This Row],[Age]]&lt;=35),"22-35",AND(Table1[[#This Row],[Age]]&gt;=36,Table1[[#This Row],[Age]]&lt;=45),"36-45",AND(Table1[[#This Row],[Age]]&gt;=46,Table1[[#This Row],[Age]]&lt;=55),"46-55")</f>
        <v>36-45</v>
      </c>
      <c r="P236">
        <f>IF(Table1[[#This Row],[Employment_Status]]="active",1,0)</f>
        <v>0</v>
      </c>
      <c r="Q236">
        <v>1</v>
      </c>
      <c r="R236" s="6">
        <f ca="1">YEARFRAC(Table1[[#This Row],[Hire_Date]],IF(Table1[[#This Row],[Employment_Status]]="Exited",Table1[[#This Row],[Exit_Date]],TODAY()))</f>
        <v>2.5722222222222224</v>
      </c>
      <c r="S236" t="str" cm="1">
        <f t="array" aca="1" ref="S236" ca="1">_xlfn.IFS(AND(Table1[[#This Row],[Tenure]]&gt;=0,Table1[[#This Row],[Tenure]]&lt;=1),"0-1",AND(Table1[[#This Row],[Tenure]]&gt;1,Table1[[#This Row],[Tenure]]&lt;=3),"1-3",AND(Table1[[#This Row],[Tenure]]&gt;3,Table1[[#This Row],[Tenure]]&lt;=5),"3-5",AND(Table1[[#This Row],[Tenure]]&gt;5,Table1[[#This Row],[Tenure]]&lt;=8),"5-8")</f>
        <v>1-3</v>
      </c>
      <c r="T236" t="str" cm="1">
        <f t="array" ref="T236">_xlfn.IFS(AND(Table1[[#This Row],[Salary]]&gt;=180000, Table1[[#This Row],[Salary]] &lt;=500000),"Low (180k-500k)", AND(Table1[[#This Row],[Salary]]&gt;500000, Table1[[#This Row],[Salary]]&lt;=800000), "Medium (501k-800k)", AND(Table1[[#This Row],[Salary]]&gt;800000, Table1[[#This Row],[Salary]]&lt;1200000), "High (801k - 1.2m)")</f>
        <v>Medium (501k-800k)</v>
      </c>
    </row>
    <row r="237" spans="1:20" x14ac:dyDescent="0.2">
      <c r="A237">
        <v>236</v>
      </c>
      <c r="B237" t="s">
        <v>36</v>
      </c>
      <c r="C237" t="s">
        <v>20</v>
      </c>
      <c r="D237">
        <v>45</v>
      </c>
      <c r="E237" t="s">
        <v>15</v>
      </c>
      <c r="F237" t="s">
        <v>27</v>
      </c>
      <c r="G237">
        <v>936037</v>
      </c>
      <c r="H237" t="s">
        <v>293</v>
      </c>
      <c r="J237" t="s">
        <v>18</v>
      </c>
      <c r="K237">
        <v>3</v>
      </c>
      <c r="L237">
        <v>25</v>
      </c>
      <c r="M237">
        <v>78</v>
      </c>
      <c r="N237">
        <f>IF(Table1[[#This Row],[Employment_Status]]="Exited",1,0)</f>
        <v>0</v>
      </c>
      <c r="O237" t="str" cm="1">
        <f t="array" ref="O237">_xlfn.IFS(AND(Table1[[#This Row],[Age]]&gt;=22,Table1[[#This Row],[Age]]&lt;=35),"22-35",AND(Table1[[#This Row],[Age]]&gt;=36,Table1[[#This Row],[Age]]&lt;=45),"36-45",AND(Table1[[#This Row],[Age]]&gt;=46,Table1[[#This Row],[Age]]&lt;=55),"46-55")</f>
        <v>36-45</v>
      </c>
      <c r="P237">
        <f>IF(Table1[[#This Row],[Employment_Status]]="active",1,0)</f>
        <v>1</v>
      </c>
      <c r="Q237">
        <v>1</v>
      </c>
      <c r="R237" s="6">
        <f ca="1">YEARFRAC(Table1[[#This Row],[Hire_Date]],IF(Table1[[#This Row],[Employment_Status]]="Exited",Table1[[#This Row],[Exit_Date]],TODAY()))</f>
        <v>6.2555555555555555</v>
      </c>
      <c r="S237" t="str" cm="1">
        <f t="array" aca="1" ref="S237" ca="1">_xlfn.IFS(AND(Table1[[#This Row],[Tenure]]&gt;=0,Table1[[#This Row],[Tenure]]&lt;=1),"0-1",AND(Table1[[#This Row],[Tenure]]&gt;1,Table1[[#This Row],[Tenure]]&lt;=3),"1-3",AND(Table1[[#This Row],[Tenure]]&gt;3,Table1[[#This Row],[Tenure]]&lt;=5),"3-5",AND(Table1[[#This Row],[Tenure]]&gt;5,Table1[[#This Row],[Tenure]]&lt;=8),"5-8")</f>
        <v>5-8</v>
      </c>
      <c r="T237" t="str" cm="1">
        <f t="array" ref="T237">_xlfn.IFS(AND(Table1[[#This Row],[Salary]]&gt;=180000, Table1[[#This Row],[Salary]] &lt;=500000),"Low (180k-500k)", AND(Table1[[#This Row],[Salary]]&gt;500000, Table1[[#This Row],[Salary]]&lt;=800000), "Medium (501k-800k)", AND(Table1[[#This Row],[Salary]]&gt;800000, Table1[[#This Row],[Salary]]&lt;1200000), "High (801k - 1.2m)")</f>
        <v>High (801k - 1.2m)</v>
      </c>
    </row>
    <row r="238" spans="1:20" x14ac:dyDescent="0.2">
      <c r="A238">
        <v>237</v>
      </c>
      <c r="B238" t="s">
        <v>40</v>
      </c>
      <c r="C238" t="s">
        <v>20</v>
      </c>
      <c r="D238">
        <v>23</v>
      </c>
      <c r="E238" t="s">
        <v>15</v>
      </c>
      <c r="F238" t="s">
        <v>22</v>
      </c>
      <c r="G238">
        <v>1175456</v>
      </c>
      <c r="H238" t="s">
        <v>183</v>
      </c>
      <c r="J238" t="s">
        <v>18</v>
      </c>
      <c r="K238">
        <v>4</v>
      </c>
      <c r="L238">
        <v>26</v>
      </c>
      <c r="M238">
        <v>71</v>
      </c>
      <c r="N238">
        <f>IF(Table1[[#This Row],[Employment_Status]]="Exited",1,0)</f>
        <v>0</v>
      </c>
      <c r="O238" t="str" cm="1">
        <f t="array" ref="O238">_xlfn.IFS(AND(Table1[[#This Row],[Age]]&gt;=22,Table1[[#This Row],[Age]]&lt;=35),"22-35",AND(Table1[[#This Row],[Age]]&gt;=36,Table1[[#This Row],[Age]]&lt;=45),"36-45",AND(Table1[[#This Row],[Age]]&gt;=46,Table1[[#This Row],[Age]]&lt;=55),"46-55")</f>
        <v>22-35</v>
      </c>
      <c r="P238">
        <f>IF(Table1[[#This Row],[Employment_Status]]="active",1,0)</f>
        <v>1</v>
      </c>
      <c r="Q238">
        <v>1</v>
      </c>
      <c r="R238" s="6">
        <f ca="1">YEARFRAC(Table1[[#This Row],[Hire_Date]],IF(Table1[[#This Row],[Employment_Status]]="Exited",Table1[[#This Row],[Exit_Date]],TODAY()))</f>
        <v>5.7527777777777782</v>
      </c>
      <c r="S238" t="str" cm="1">
        <f t="array" aca="1" ref="S238" ca="1">_xlfn.IFS(AND(Table1[[#This Row],[Tenure]]&gt;=0,Table1[[#This Row],[Tenure]]&lt;=1),"0-1",AND(Table1[[#This Row],[Tenure]]&gt;1,Table1[[#This Row],[Tenure]]&lt;=3),"1-3",AND(Table1[[#This Row],[Tenure]]&gt;3,Table1[[#This Row],[Tenure]]&lt;=5),"3-5",AND(Table1[[#This Row],[Tenure]]&gt;5,Table1[[#This Row],[Tenure]]&lt;=8),"5-8")</f>
        <v>5-8</v>
      </c>
      <c r="T238" t="str" cm="1">
        <f t="array" ref="T238">_xlfn.IFS(AND(Table1[[#This Row],[Salary]]&gt;=180000, Table1[[#This Row],[Salary]] &lt;=500000),"Low (180k-500k)", AND(Table1[[#This Row],[Salary]]&gt;500000, Table1[[#This Row],[Salary]]&lt;=800000), "Medium (501k-800k)", AND(Table1[[#This Row],[Salary]]&gt;800000, Table1[[#This Row],[Salary]]&lt;1200000), "High (801k - 1.2m)")</f>
        <v>High (801k - 1.2m)</v>
      </c>
    </row>
    <row r="239" spans="1:20" x14ac:dyDescent="0.2">
      <c r="A239">
        <v>238</v>
      </c>
      <c r="B239" t="s">
        <v>29</v>
      </c>
      <c r="C239" t="s">
        <v>14</v>
      </c>
      <c r="D239">
        <v>41</v>
      </c>
      <c r="E239" t="s">
        <v>15</v>
      </c>
      <c r="F239" t="s">
        <v>34</v>
      </c>
      <c r="G239">
        <v>489941</v>
      </c>
      <c r="H239" t="s">
        <v>294</v>
      </c>
      <c r="I239" t="s">
        <v>295</v>
      </c>
      <c r="J239" t="s">
        <v>55</v>
      </c>
      <c r="K239">
        <v>4</v>
      </c>
      <c r="L239">
        <v>45</v>
      </c>
      <c r="M239">
        <v>74</v>
      </c>
      <c r="N239">
        <f>IF(Table1[[#This Row],[Employment_Status]]="Exited",1,0)</f>
        <v>1</v>
      </c>
      <c r="O239" t="str" cm="1">
        <f t="array" ref="O239">_xlfn.IFS(AND(Table1[[#This Row],[Age]]&gt;=22,Table1[[#This Row],[Age]]&lt;=35),"22-35",AND(Table1[[#This Row],[Age]]&gt;=36,Table1[[#This Row],[Age]]&lt;=45),"36-45",AND(Table1[[#This Row],[Age]]&gt;=46,Table1[[#This Row],[Age]]&lt;=55),"46-55")</f>
        <v>36-45</v>
      </c>
      <c r="P239">
        <f>IF(Table1[[#This Row],[Employment_Status]]="active",1,0)</f>
        <v>0</v>
      </c>
      <c r="Q239">
        <v>1</v>
      </c>
      <c r="R239" s="6">
        <f ca="1">YEARFRAC(Table1[[#This Row],[Hire_Date]],IF(Table1[[#This Row],[Employment_Status]]="Exited",Table1[[#This Row],[Exit_Date]],TODAY()))</f>
        <v>2.2583333333333333</v>
      </c>
      <c r="S239" t="str" cm="1">
        <f t="array" aca="1" ref="S239" ca="1">_xlfn.IFS(AND(Table1[[#This Row],[Tenure]]&gt;=0,Table1[[#This Row],[Tenure]]&lt;=1),"0-1",AND(Table1[[#This Row],[Tenure]]&gt;1,Table1[[#This Row],[Tenure]]&lt;=3),"1-3",AND(Table1[[#This Row],[Tenure]]&gt;3,Table1[[#This Row],[Tenure]]&lt;=5),"3-5",AND(Table1[[#This Row],[Tenure]]&gt;5,Table1[[#This Row],[Tenure]]&lt;=8),"5-8")</f>
        <v>1-3</v>
      </c>
      <c r="T239" t="str" cm="1">
        <f t="array" ref="T239">_xlfn.IFS(AND(Table1[[#This Row],[Salary]]&gt;=180000, Table1[[#This Row],[Salary]] &lt;=500000),"Low (180k-500k)", AND(Table1[[#This Row],[Salary]]&gt;500000, Table1[[#This Row],[Salary]]&lt;=800000), "Medium (501k-800k)", AND(Table1[[#This Row],[Salary]]&gt;800000, Table1[[#This Row],[Salary]]&lt;1200000), "High (801k - 1.2m)")</f>
        <v>Low (180k-500k)</v>
      </c>
    </row>
    <row r="240" spans="1:20" x14ac:dyDescent="0.2">
      <c r="A240">
        <v>239</v>
      </c>
      <c r="B240" t="s">
        <v>75</v>
      </c>
      <c r="C240" t="s">
        <v>20</v>
      </c>
      <c r="D240">
        <v>51</v>
      </c>
      <c r="E240" t="s">
        <v>45</v>
      </c>
      <c r="F240" t="s">
        <v>22</v>
      </c>
      <c r="G240">
        <v>279729</v>
      </c>
      <c r="H240" t="s">
        <v>296</v>
      </c>
      <c r="I240" t="s">
        <v>176</v>
      </c>
      <c r="J240" t="s">
        <v>55</v>
      </c>
      <c r="K240">
        <v>1</v>
      </c>
      <c r="L240">
        <v>13</v>
      </c>
      <c r="M240">
        <v>100</v>
      </c>
      <c r="N240">
        <f>IF(Table1[[#This Row],[Employment_Status]]="Exited",1,0)</f>
        <v>1</v>
      </c>
      <c r="O240" t="str" cm="1">
        <f t="array" ref="O240">_xlfn.IFS(AND(Table1[[#This Row],[Age]]&gt;=22,Table1[[#This Row],[Age]]&lt;=35),"22-35",AND(Table1[[#This Row],[Age]]&gt;=36,Table1[[#This Row],[Age]]&lt;=45),"36-45",AND(Table1[[#This Row],[Age]]&gt;=46,Table1[[#This Row],[Age]]&lt;=55),"46-55")</f>
        <v>46-55</v>
      </c>
      <c r="P240">
        <f>IF(Table1[[#This Row],[Employment_Status]]="active",1,0)</f>
        <v>0</v>
      </c>
      <c r="Q240">
        <v>1</v>
      </c>
      <c r="R240" s="6">
        <f ca="1">YEARFRAC(Table1[[#This Row],[Hire_Date]],IF(Table1[[#This Row],[Employment_Status]]="Exited",Table1[[#This Row],[Exit_Date]],TODAY()))</f>
        <v>2.5277777777777777</v>
      </c>
      <c r="S240" t="str" cm="1">
        <f t="array" aca="1" ref="S240" ca="1">_xlfn.IFS(AND(Table1[[#This Row],[Tenure]]&gt;=0,Table1[[#This Row],[Tenure]]&lt;=1),"0-1",AND(Table1[[#This Row],[Tenure]]&gt;1,Table1[[#This Row],[Tenure]]&lt;=3),"1-3",AND(Table1[[#This Row],[Tenure]]&gt;3,Table1[[#This Row],[Tenure]]&lt;=5),"3-5",AND(Table1[[#This Row],[Tenure]]&gt;5,Table1[[#This Row],[Tenure]]&lt;=8),"5-8")</f>
        <v>1-3</v>
      </c>
      <c r="T240" t="str" cm="1">
        <f t="array" ref="T240">_xlfn.IFS(AND(Table1[[#This Row],[Salary]]&gt;=180000, Table1[[#This Row],[Salary]] &lt;=500000),"Low (180k-500k)", AND(Table1[[#This Row],[Salary]]&gt;500000, Table1[[#This Row],[Salary]]&lt;=800000), "Medium (501k-800k)", AND(Table1[[#This Row],[Salary]]&gt;800000, Table1[[#This Row],[Salary]]&lt;1200000), "High (801k - 1.2m)")</f>
        <v>Low (180k-500k)</v>
      </c>
    </row>
    <row r="241" spans="1:20" x14ac:dyDescent="0.2">
      <c r="A241">
        <v>240</v>
      </c>
      <c r="B241" t="s">
        <v>29</v>
      </c>
      <c r="C241" t="s">
        <v>20</v>
      </c>
      <c r="D241">
        <v>32</v>
      </c>
      <c r="E241" t="s">
        <v>21</v>
      </c>
      <c r="F241" t="s">
        <v>34</v>
      </c>
      <c r="G241">
        <v>269026</v>
      </c>
      <c r="H241" t="s">
        <v>297</v>
      </c>
      <c r="J241" t="s">
        <v>18</v>
      </c>
      <c r="K241">
        <v>3</v>
      </c>
      <c r="L241">
        <v>11</v>
      </c>
      <c r="M241">
        <v>100</v>
      </c>
      <c r="N241">
        <f>IF(Table1[[#This Row],[Employment_Status]]="Exited",1,0)</f>
        <v>0</v>
      </c>
      <c r="O241" t="str" cm="1">
        <f t="array" ref="O241">_xlfn.IFS(AND(Table1[[#This Row],[Age]]&gt;=22,Table1[[#This Row],[Age]]&lt;=35),"22-35",AND(Table1[[#This Row],[Age]]&gt;=36,Table1[[#This Row],[Age]]&lt;=45),"36-45",AND(Table1[[#This Row],[Age]]&gt;=46,Table1[[#This Row],[Age]]&lt;=55),"46-55")</f>
        <v>22-35</v>
      </c>
      <c r="P241">
        <f>IF(Table1[[#This Row],[Employment_Status]]="active",1,0)</f>
        <v>1</v>
      </c>
      <c r="Q241">
        <v>1</v>
      </c>
      <c r="R241" s="6">
        <f ca="1">YEARFRAC(Table1[[#This Row],[Hire_Date]],IF(Table1[[#This Row],[Employment_Status]]="Exited",Table1[[#This Row],[Exit_Date]],TODAY()))</f>
        <v>3.2361111111111112</v>
      </c>
      <c r="S241" t="str" cm="1">
        <f t="array" aca="1" ref="S241" ca="1">_xlfn.IFS(AND(Table1[[#This Row],[Tenure]]&gt;=0,Table1[[#This Row],[Tenure]]&lt;=1),"0-1",AND(Table1[[#This Row],[Tenure]]&gt;1,Table1[[#This Row],[Tenure]]&lt;=3),"1-3",AND(Table1[[#This Row],[Tenure]]&gt;3,Table1[[#This Row],[Tenure]]&lt;=5),"3-5",AND(Table1[[#This Row],[Tenure]]&gt;5,Table1[[#This Row],[Tenure]]&lt;=8),"5-8")</f>
        <v>3-5</v>
      </c>
      <c r="T241" t="str" cm="1">
        <f t="array" ref="T241">_xlfn.IFS(AND(Table1[[#This Row],[Salary]]&gt;=180000, Table1[[#This Row],[Salary]] &lt;=500000),"Low (180k-500k)", AND(Table1[[#This Row],[Salary]]&gt;500000, Table1[[#This Row],[Salary]]&lt;=800000), "Medium (501k-800k)", AND(Table1[[#This Row],[Salary]]&gt;800000, Table1[[#This Row],[Salary]]&lt;1200000), "High (801k - 1.2m)")</f>
        <v>Low (180k-500k)</v>
      </c>
    </row>
    <row r="242" spans="1:20" x14ac:dyDescent="0.2">
      <c r="A242">
        <v>241</v>
      </c>
      <c r="B242" t="s">
        <v>36</v>
      </c>
      <c r="C242" t="s">
        <v>14</v>
      </c>
      <c r="D242">
        <v>42</v>
      </c>
      <c r="E242" t="s">
        <v>15</v>
      </c>
      <c r="F242" t="s">
        <v>22</v>
      </c>
      <c r="G242">
        <v>577513</v>
      </c>
      <c r="H242" t="s">
        <v>298</v>
      </c>
      <c r="J242" t="s">
        <v>18</v>
      </c>
      <c r="K242">
        <v>5</v>
      </c>
      <c r="L242">
        <v>44</v>
      </c>
      <c r="M242">
        <v>66</v>
      </c>
      <c r="N242">
        <f>IF(Table1[[#This Row],[Employment_Status]]="Exited",1,0)</f>
        <v>0</v>
      </c>
      <c r="O242" t="str" cm="1">
        <f t="array" ref="O242">_xlfn.IFS(AND(Table1[[#This Row],[Age]]&gt;=22,Table1[[#This Row],[Age]]&lt;=35),"22-35",AND(Table1[[#This Row],[Age]]&gt;=36,Table1[[#This Row],[Age]]&lt;=45),"36-45",AND(Table1[[#This Row],[Age]]&gt;=46,Table1[[#This Row],[Age]]&lt;=55),"46-55")</f>
        <v>36-45</v>
      </c>
      <c r="P242">
        <f>IF(Table1[[#This Row],[Employment_Status]]="active",1,0)</f>
        <v>1</v>
      </c>
      <c r="Q242">
        <v>1</v>
      </c>
      <c r="R242" s="6">
        <f ca="1">YEARFRAC(Table1[[#This Row],[Hire_Date]],IF(Table1[[#This Row],[Employment_Status]]="Exited",Table1[[#This Row],[Exit_Date]],TODAY()))</f>
        <v>3.5444444444444443</v>
      </c>
      <c r="S242" t="str" cm="1">
        <f t="array" aca="1" ref="S242" ca="1">_xlfn.IFS(AND(Table1[[#This Row],[Tenure]]&gt;=0,Table1[[#This Row],[Tenure]]&lt;=1),"0-1",AND(Table1[[#This Row],[Tenure]]&gt;1,Table1[[#This Row],[Tenure]]&lt;=3),"1-3",AND(Table1[[#This Row],[Tenure]]&gt;3,Table1[[#This Row],[Tenure]]&lt;=5),"3-5",AND(Table1[[#This Row],[Tenure]]&gt;5,Table1[[#This Row],[Tenure]]&lt;=8),"5-8")</f>
        <v>3-5</v>
      </c>
      <c r="T242" t="str" cm="1">
        <f t="array" ref="T242">_xlfn.IFS(AND(Table1[[#This Row],[Salary]]&gt;=180000, Table1[[#This Row],[Salary]] &lt;=500000),"Low (180k-500k)", AND(Table1[[#This Row],[Salary]]&gt;500000, Table1[[#This Row],[Salary]]&lt;=800000), "Medium (501k-800k)", AND(Table1[[#This Row],[Salary]]&gt;800000, Table1[[#This Row],[Salary]]&lt;1200000), "High (801k - 1.2m)")</f>
        <v>Medium (501k-800k)</v>
      </c>
    </row>
    <row r="243" spans="1:20" x14ac:dyDescent="0.2">
      <c r="A243">
        <v>242</v>
      </c>
      <c r="B243" t="s">
        <v>40</v>
      </c>
      <c r="C243" t="s">
        <v>14</v>
      </c>
      <c r="D243">
        <v>52</v>
      </c>
      <c r="E243" t="s">
        <v>61</v>
      </c>
      <c r="F243" t="s">
        <v>27</v>
      </c>
      <c r="G243">
        <v>209427</v>
      </c>
      <c r="H243" t="s">
        <v>259</v>
      </c>
      <c r="J243" t="s">
        <v>18</v>
      </c>
      <c r="K243">
        <v>4</v>
      </c>
      <c r="L243">
        <v>27</v>
      </c>
      <c r="M243">
        <v>87</v>
      </c>
      <c r="N243">
        <f>IF(Table1[[#This Row],[Employment_Status]]="Exited",1,0)</f>
        <v>0</v>
      </c>
      <c r="O243" t="str" cm="1">
        <f t="array" ref="O243">_xlfn.IFS(AND(Table1[[#This Row],[Age]]&gt;=22,Table1[[#This Row],[Age]]&lt;=35),"22-35",AND(Table1[[#This Row],[Age]]&gt;=36,Table1[[#This Row],[Age]]&lt;=45),"36-45",AND(Table1[[#This Row],[Age]]&gt;=46,Table1[[#This Row],[Age]]&lt;=55),"46-55")</f>
        <v>46-55</v>
      </c>
      <c r="P243">
        <f>IF(Table1[[#This Row],[Employment_Status]]="active",1,0)</f>
        <v>1</v>
      </c>
      <c r="Q243">
        <v>1</v>
      </c>
      <c r="R243" s="6">
        <f ca="1">YEARFRAC(Table1[[#This Row],[Hire_Date]],IF(Table1[[#This Row],[Employment_Status]]="Exited",Table1[[#This Row],[Exit_Date]],TODAY()))</f>
        <v>4.1583333333333332</v>
      </c>
      <c r="S243" t="str" cm="1">
        <f t="array" aca="1" ref="S243" ca="1">_xlfn.IFS(AND(Table1[[#This Row],[Tenure]]&gt;=0,Table1[[#This Row],[Tenure]]&lt;=1),"0-1",AND(Table1[[#This Row],[Tenure]]&gt;1,Table1[[#This Row],[Tenure]]&lt;=3),"1-3",AND(Table1[[#This Row],[Tenure]]&gt;3,Table1[[#This Row],[Tenure]]&lt;=5),"3-5",AND(Table1[[#This Row],[Tenure]]&gt;5,Table1[[#This Row],[Tenure]]&lt;=8),"5-8")</f>
        <v>3-5</v>
      </c>
      <c r="T243" t="str" cm="1">
        <f t="array" ref="T243">_xlfn.IFS(AND(Table1[[#This Row],[Salary]]&gt;=180000, Table1[[#This Row],[Salary]] &lt;=500000),"Low (180k-500k)", AND(Table1[[#This Row],[Salary]]&gt;500000, Table1[[#This Row],[Salary]]&lt;=800000), "Medium (501k-800k)", AND(Table1[[#This Row],[Salary]]&gt;800000, Table1[[#This Row],[Salary]]&lt;1200000), "High (801k - 1.2m)")</f>
        <v>Low (180k-500k)</v>
      </c>
    </row>
    <row r="244" spans="1:20" x14ac:dyDescent="0.2">
      <c r="A244">
        <v>243</v>
      </c>
      <c r="B244" t="s">
        <v>75</v>
      </c>
      <c r="C244" t="s">
        <v>20</v>
      </c>
      <c r="D244">
        <v>42</v>
      </c>
      <c r="E244" t="s">
        <v>15</v>
      </c>
      <c r="F244" t="s">
        <v>22</v>
      </c>
      <c r="G244">
        <v>569912</v>
      </c>
      <c r="H244" t="s">
        <v>299</v>
      </c>
      <c r="I244" t="s">
        <v>159</v>
      </c>
      <c r="J244" t="s">
        <v>55</v>
      </c>
      <c r="K244">
        <v>2</v>
      </c>
      <c r="L244">
        <v>23</v>
      </c>
      <c r="M244">
        <v>67</v>
      </c>
      <c r="N244">
        <f>IF(Table1[[#This Row],[Employment_Status]]="Exited",1,0)</f>
        <v>1</v>
      </c>
      <c r="O244" t="str" cm="1">
        <f t="array" ref="O244">_xlfn.IFS(AND(Table1[[#This Row],[Age]]&gt;=22,Table1[[#This Row],[Age]]&lt;=35),"22-35",AND(Table1[[#This Row],[Age]]&gt;=36,Table1[[#This Row],[Age]]&lt;=45),"36-45",AND(Table1[[#This Row],[Age]]&gt;=46,Table1[[#This Row],[Age]]&lt;=55),"46-55")</f>
        <v>36-45</v>
      </c>
      <c r="P244">
        <f>IF(Table1[[#This Row],[Employment_Status]]="active",1,0)</f>
        <v>0</v>
      </c>
      <c r="Q244">
        <v>1</v>
      </c>
      <c r="R244" s="6">
        <f ca="1">YEARFRAC(Table1[[#This Row],[Hire_Date]],IF(Table1[[#This Row],[Employment_Status]]="Exited",Table1[[#This Row],[Exit_Date]],TODAY()))</f>
        <v>2.036111111111111</v>
      </c>
      <c r="S244" t="str" cm="1">
        <f t="array" aca="1" ref="S244" ca="1">_xlfn.IFS(AND(Table1[[#This Row],[Tenure]]&gt;=0,Table1[[#This Row],[Tenure]]&lt;=1),"0-1",AND(Table1[[#This Row],[Tenure]]&gt;1,Table1[[#This Row],[Tenure]]&lt;=3),"1-3",AND(Table1[[#This Row],[Tenure]]&gt;3,Table1[[#This Row],[Tenure]]&lt;=5),"3-5",AND(Table1[[#This Row],[Tenure]]&gt;5,Table1[[#This Row],[Tenure]]&lt;=8),"5-8")</f>
        <v>1-3</v>
      </c>
      <c r="T244" t="str" cm="1">
        <f t="array" ref="T244">_xlfn.IFS(AND(Table1[[#This Row],[Salary]]&gt;=180000, Table1[[#This Row],[Salary]] &lt;=500000),"Low (180k-500k)", AND(Table1[[#This Row],[Salary]]&gt;500000, Table1[[#This Row],[Salary]]&lt;=800000), "Medium (501k-800k)", AND(Table1[[#This Row],[Salary]]&gt;800000, Table1[[#This Row],[Salary]]&lt;1200000), "High (801k - 1.2m)")</f>
        <v>Medium (501k-800k)</v>
      </c>
    </row>
    <row r="245" spans="1:20" x14ac:dyDescent="0.2">
      <c r="A245">
        <v>244</v>
      </c>
      <c r="B245" t="s">
        <v>26</v>
      </c>
      <c r="C245" t="s">
        <v>20</v>
      </c>
      <c r="D245">
        <v>47</v>
      </c>
      <c r="E245" t="s">
        <v>49</v>
      </c>
      <c r="F245" t="s">
        <v>16</v>
      </c>
      <c r="G245">
        <v>415727</v>
      </c>
      <c r="H245" t="s">
        <v>300</v>
      </c>
      <c r="J245" t="s">
        <v>18</v>
      </c>
      <c r="K245">
        <v>4</v>
      </c>
      <c r="L245">
        <v>35</v>
      </c>
      <c r="M245">
        <v>83</v>
      </c>
      <c r="N245">
        <f>IF(Table1[[#This Row],[Employment_Status]]="Exited",1,0)</f>
        <v>0</v>
      </c>
      <c r="O245" t="str" cm="1">
        <f t="array" ref="O245">_xlfn.IFS(AND(Table1[[#This Row],[Age]]&gt;=22,Table1[[#This Row],[Age]]&lt;=35),"22-35",AND(Table1[[#This Row],[Age]]&gt;=36,Table1[[#This Row],[Age]]&lt;=45),"36-45",AND(Table1[[#This Row],[Age]]&gt;=46,Table1[[#This Row],[Age]]&lt;=55),"46-55")</f>
        <v>46-55</v>
      </c>
      <c r="P245">
        <f>IF(Table1[[#This Row],[Employment_Status]]="active",1,0)</f>
        <v>1</v>
      </c>
      <c r="Q245">
        <v>1</v>
      </c>
      <c r="R245" s="6">
        <f ca="1">YEARFRAC(Table1[[#This Row],[Hire_Date]],IF(Table1[[#This Row],[Employment_Status]]="Exited",Table1[[#This Row],[Exit_Date]],TODAY()))</f>
        <v>3.4388888888888891</v>
      </c>
      <c r="S245" t="str" cm="1">
        <f t="array" aca="1" ref="S245" ca="1">_xlfn.IFS(AND(Table1[[#This Row],[Tenure]]&gt;=0,Table1[[#This Row],[Tenure]]&lt;=1),"0-1",AND(Table1[[#This Row],[Tenure]]&gt;1,Table1[[#This Row],[Tenure]]&lt;=3),"1-3",AND(Table1[[#This Row],[Tenure]]&gt;3,Table1[[#This Row],[Tenure]]&lt;=5),"3-5",AND(Table1[[#This Row],[Tenure]]&gt;5,Table1[[#This Row],[Tenure]]&lt;=8),"5-8")</f>
        <v>3-5</v>
      </c>
      <c r="T245" t="str" cm="1">
        <f t="array" ref="T245">_xlfn.IFS(AND(Table1[[#This Row],[Salary]]&gt;=180000, Table1[[#This Row],[Salary]] &lt;=500000),"Low (180k-500k)", AND(Table1[[#This Row],[Salary]]&gt;500000, Table1[[#This Row],[Salary]]&lt;=800000), "Medium (501k-800k)", AND(Table1[[#This Row],[Salary]]&gt;800000, Table1[[#This Row],[Salary]]&lt;1200000), "High (801k - 1.2m)")</f>
        <v>Low (180k-500k)</v>
      </c>
    </row>
    <row r="246" spans="1:20" x14ac:dyDescent="0.2">
      <c r="A246">
        <v>245</v>
      </c>
      <c r="B246" t="s">
        <v>24</v>
      </c>
      <c r="C246" t="s">
        <v>14</v>
      </c>
      <c r="D246">
        <v>28</v>
      </c>
      <c r="E246" t="s">
        <v>21</v>
      </c>
      <c r="F246" t="s">
        <v>34</v>
      </c>
      <c r="G246">
        <v>250392</v>
      </c>
      <c r="H246" t="s">
        <v>301</v>
      </c>
      <c r="I246" t="s">
        <v>302</v>
      </c>
      <c r="J246" t="s">
        <v>55</v>
      </c>
      <c r="K246">
        <v>1</v>
      </c>
      <c r="L246">
        <v>14</v>
      </c>
      <c r="M246">
        <v>88</v>
      </c>
      <c r="N246">
        <f>IF(Table1[[#This Row],[Employment_Status]]="Exited",1,0)</f>
        <v>1</v>
      </c>
      <c r="O246" t="str" cm="1">
        <f t="array" ref="O246">_xlfn.IFS(AND(Table1[[#This Row],[Age]]&gt;=22,Table1[[#This Row],[Age]]&lt;=35),"22-35",AND(Table1[[#This Row],[Age]]&gt;=36,Table1[[#This Row],[Age]]&lt;=45),"36-45",AND(Table1[[#This Row],[Age]]&gt;=46,Table1[[#This Row],[Age]]&lt;=55),"46-55")</f>
        <v>22-35</v>
      </c>
      <c r="P246">
        <f>IF(Table1[[#This Row],[Employment_Status]]="active",1,0)</f>
        <v>0</v>
      </c>
      <c r="Q246">
        <v>1</v>
      </c>
      <c r="R246" s="6">
        <f ca="1">YEARFRAC(Table1[[#This Row],[Hire_Date]],IF(Table1[[#This Row],[Employment_Status]]="Exited",Table1[[#This Row],[Exit_Date]],TODAY()))</f>
        <v>2.411111111111111</v>
      </c>
      <c r="S246" t="str" cm="1">
        <f t="array" aca="1" ref="S246" ca="1">_xlfn.IFS(AND(Table1[[#This Row],[Tenure]]&gt;=0,Table1[[#This Row],[Tenure]]&lt;=1),"0-1",AND(Table1[[#This Row],[Tenure]]&gt;1,Table1[[#This Row],[Tenure]]&lt;=3),"1-3",AND(Table1[[#This Row],[Tenure]]&gt;3,Table1[[#This Row],[Tenure]]&lt;=5),"3-5",AND(Table1[[#This Row],[Tenure]]&gt;5,Table1[[#This Row],[Tenure]]&lt;=8),"5-8")</f>
        <v>1-3</v>
      </c>
      <c r="T246" t="str" cm="1">
        <f t="array" ref="T246">_xlfn.IFS(AND(Table1[[#This Row],[Salary]]&gt;=180000, Table1[[#This Row],[Salary]] &lt;=500000),"Low (180k-500k)", AND(Table1[[#This Row],[Salary]]&gt;500000, Table1[[#This Row],[Salary]]&lt;=800000), "Medium (501k-800k)", AND(Table1[[#This Row],[Salary]]&gt;800000, Table1[[#This Row],[Salary]]&lt;1200000), "High (801k - 1.2m)")</f>
        <v>Low (180k-500k)</v>
      </c>
    </row>
    <row r="247" spans="1:20" x14ac:dyDescent="0.2">
      <c r="A247">
        <v>246</v>
      </c>
      <c r="B247" t="s">
        <v>24</v>
      </c>
      <c r="C247" t="s">
        <v>14</v>
      </c>
      <c r="D247">
        <v>29</v>
      </c>
      <c r="E247" t="s">
        <v>21</v>
      </c>
      <c r="F247" t="s">
        <v>27</v>
      </c>
      <c r="G247">
        <v>485676</v>
      </c>
      <c r="H247" t="s">
        <v>303</v>
      </c>
      <c r="I247" t="s">
        <v>304</v>
      </c>
      <c r="J247" t="s">
        <v>55</v>
      </c>
      <c r="K247">
        <v>4</v>
      </c>
      <c r="L247">
        <v>32</v>
      </c>
      <c r="M247">
        <v>81</v>
      </c>
      <c r="N247">
        <f>IF(Table1[[#This Row],[Employment_Status]]="Exited",1,0)</f>
        <v>1</v>
      </c>
      <c r="O247" t="str" cm="1">
        <f t="array" ref="O247">_xlfn.IFS(AND(Table1[[#This Row],[Age]]&gt;=22,Table1[[#This Row],[Age]]&lt;=35),"22-35",AND(Table1[[#This Row],[Age]]&gt;=36,Table1[[#This Row],[Age]]&lt;=45),"36-45",AND(Table1[[#This Row],[Age]]&gt;=46,Table1[[#This Row],[Age]]&lt;=55),"46-55")</f>
        <v>22-35</v>
      </c>
      <c r="P247">
        <f>IF(Table1[[#This Row],[Employment_Status]]="active",1,0)</f>
        <v>0</v>
      </c>
      <c r="Q247">
        <v>1</v>
      </c>
      <c r="R247" s="6">
        <f ca="1">YEARFRAC(Table1[[#This Row],[Hire_Date]],IF(Table1[[#This Row],[Employment_Status]]="Exited",Table1[[#This Row],[Exit_Date]],TODAY()))</f>
        <v>2.6805555555555554</v>
      </c>
      <c r="S247" t="str" cm="1">
        <f t="array" aca="1" ref="S247" ca="1">_xlfn.IFS(AND(Table1[[#This Row],[Tenure]]&gt;=0,Table1[[#This Row],[Tenure]]&lt;=1),"0-1",AND(Table1[[#This Row],[Tenure]]&gt;1,Table1[[#This Row],[Tenure]]&lt;=3),"1-3",AND(Table1[[#This Row],[Tenure]]&gt;3,Table1[[#This Row],[Tenure]]&lt;=5),"3-5",AND(Table1[[#This Row],[Tenure]]&gt;5,Table1[[#This Row],[Tenure]]&lt;=8),"5-8")</f>
        <v>1-3</v>
      </c>
      <c r="T247" t="str" cm="1">
        <f t="array" ref="T247">_xlfn.IFS(AND(Table1[[#This Row],[Salary]]&gt;=180000, Table1[[#This Row],[Salary]] &lt;=500000),"Low (180k-500k)", AND(Table1[[#This Row],[Salary]]&gt;500000, Table1[[#This Row],[Salary]]&lt;=800000), "Medium (501k-800k)", AND(Table1[[#This Row],[Salary]]&gt;800000, Table1[[#This Row],[Salary]]&lt;1200000), "High (801k - 1.2m)")</f>
        <v>Low (180k-500k)</v>
      </c>
    </row>
    <row r="248" spans="1:20" x14ac:dyDescent="0.2">
      <c r="A248">
        <v>247</v>
      </c>
      <c r="B248" t="s">
        <v>47</v>
      </c>
      <c r="C248" t="s">
        <v>14</v>
      </c>
      <c r="D248">
        <v>27</v>
      </c>
      <c r="E248" t="s">
        <v>45</v>
      </c>
      <c r="F248" t="s">
        <v>22</v>
      </c>
      <c r="G248">
        <v>420134</v>
      </c>
      <c r="H248" t="s">
        <v>305</v>
      </c>
      <c r="J248" t="s">
        <v>18</v>
      </c>
      <c r="K248">
        <v>1</v>
      </c>
      <c r="L248">
        <v>26</v>
      </c>
      <c r="M248">
        <v>77</v>
      </c>
      <c r="N248">
        <f>IF(Table1[[#This Row],[Employment_Status]]="Exited",1,0)</f>
        <v>0</v>
      </c>
      <c r="O248" t="str" cm="1">
        <f t="array" ref="O248">_xlfn.IFS(AND(Table1[[#This Row],[Age]]&gt;=22,Table1[[#This Row],[Age]]&lt;=35),"22-35",AND(Table1[[#This Row],[Age]]&gt;=36,Table1[[#This Row],[Age]]&lt;=45),"36-45",AND(Table1[[#This Row],[Age]]&gt;=46,Table1[[#This Row],[Age]]&lt;=55),"46-55")</f>
        <v>22-35</v>
      </c>
      <c r="P248">
        <f>IF(Table1[[#This Row],[Employment_Status]]="active",1,0)</f>
        <v>1</v>
      </c>
      <c r="Q248">
        <v>1</v>
      </c>
      <c r="R248" s="6">
        <f ca="1">YEARFRAC(Table1[[#This Row],[Hire_Date]],IF(Table1[[#This Row],[Employment_Status]]="Exited",Table1[[#This Row],[Exit_Date]],TODAY()))</f>
        <v>3.2972222222222221</v>
      </c>
      <c r="S248" t="str" cm="1">
        <f t="array" aca="1" ref="S248" ca="1">_xlfn.IFS(AND(Table1[[#This Row],[Tenure]]&gt;=0,Table1[[#This Row],[Tenure]]&lt;=1),"0-1",AND(Table1[[#This Row],[Tenure]]&gt;1,Table1[[#This Row],[Tenure]]&lt;=3),"1-3",AND(Table1[[#This Row],[Tenure]]&gt;3,Table1[[#This Row],[Tenure]]&lt;=5),"3-5",AND(Table1[[#This Row],[Tenure]]&gt;5,Table1[[#This Row],[Tenure]]&lt;=8),"5-8")</f>
        <v>3-5</v>
      </c>
      <c r="T248" t="str" cm="1">
        <f t="array" ref="T248">_xlfn.IFS(AND(Table1[[#This Row],[Salary]]&gt;=180000, Table1[[#This Row],[Salary]] &lt;=500000),"Low (180k-500k)", AND(Table1[[#This Row],[Salary]]&gt;500000, Table1[[#This Row],[Salary]]&lt;=800000), "Medium (501k-800k)", AND(Table1[[#This Row],[Salary]]&gt;800000, Table1[[#This Row],[Salary]]&lt;1200000), "High (801k - 1.2m)")</f>
        <v>Low (180k-500k)</v>
      </c>
    </row>
    <row r="249" spans="1:20" x14ac:dyDescent="0.2">
      <c r="A249">
        <v>248</v>
      </c>
      <c r="B249" t="s">
        <v>13</v>
      </c>
      <c r="C249" t="s">
        <v>14</v>
      </c>
      <c r="D249">
        <v>37</v>
      </c>
      <c r="E249" t="s">
        <v>15</v>
      </c>
      <c r="F249" t="s">
        <v>22</v>
      </c>
      <c r="G249">
        <v>982946</v>
      </c>
      <c r="H249" t="s">
        <v>306</v>
      </c>
      <c r="J249" t="s">
        <v>18</v>
      </c>
      <c r="K249">
        <v>3</v>
      </c>
      <c r="L249">
        <v>3</v>
      </c>
      <c r="M249">
        <v>89</v>
      </c>
      <c r="N249">
        <f>IF(Table1[[#This Row],[Employment_Status]]="Exited",1,0)</f>
        <v>0</v>
      </c>
      <c r="O249" t="str" cm="1">
        <f t="array" ref="O249">_xlfn.IFS(AND(Table1[[#This Row],[Age]]&gt;=22,Table1[[#This Row],[Age]]&lt;=35),"22-35",AND(Table1[[#This Row],[Age]]&gt;=36,Table1[[#This Row],[Age]]&lt;=45),"36-45",AND(Table1[[#This Row],[Age]]&gt;=46,Table1[[#This Row],[Age]]&lt;=55),"46-55")</f>
        <v>36-45</v>
      </c>
      <c r="P249">
        <f>IF(Table1[[#This Row],[Employment_Status]]="active",1,0)</f>
        <v>1</v>
      </c>
      <c r="Q249">
        <v>1</v>
      </c>
      <c r="R249" s="6">
        <f ca="1">YEARFRAC(Table1[[#This Row],[Hire_Date]],IF(Table1[[#This Row],[Employment_Status]]="Exited",Table1[[#This Row],[Exit_Date]],TODAY()))</f>
        <v>5.375</v>
      </c>
      <c r="S249" t="str" cm="1">
        <f t="array" aca="1" ref="S249" ca="1">_xlfn.IFS(AND(Table1[[#This Row],[Tenure]]&gt;=0,Table1[[#This Row],[Tenure]]&lt;=1),"0-1",AND(Table1[[#This Row],[Tenure]]&gt;1,Table1[[#This Row],[Tenure]]&lt;=3),"1-3",AND(Table1[[#This Row],[Tenure]]&gt;3,Table1[[#This Row],[Tenure]]&lt;=5),"3-5",AND(Table1[[#This Row],[Tenure]]&gt;5,Table1[[#This Row],[Tenure]]&lt;=8),"5-8")</f>
        <v>5-8</v>
      </c>
      <c r="T249" t="str" cm="1">
        <f t="array" ref="T249">_xlfn.IFS(AND(Table1[[#This Row],[Salary]]&gt;=180000, Table1[[#This Row],[Salary]] &lt;=500000),"Low (180k-500k)", AND(Table1[[#This Row],[Salary]]&gt;500000, Table1[[#This Row],[Salary]]&lt;=800000), "Medium (501k-800k)", AND(Table1[[#This Row],[Salary]]&gt;800000, Table1[[#This Row],[Salary]]&lt;1200000), "High (801k - 1.2m)")</f>
        <v>High (801k - 1.2m)</v>
      </c>
    </row>
    <row r="250" spans="1:20" x14ac:dyDescent="0.2">
      <c r="A250">
        <v>249</v>
      </c>
      <c r="B250" t="s">
        <v>26</v>
      </c>
      <c r="C250" t="s">
        <v>20</v>
      </c>
      <c r="D250">
        <v>51</v>
      </c>
      <c r="E250" t="s">
        <v>49</v>
      </c>
      <c r="F250" t="s">
        <v>27</v>
      </c>
      <c r="G250">
        <v>397557</v>
      </c>
      <c r="H250" t="s">
        <v>307</v>
      </c>
      <c r="J250" t="s">
        <v>18</v>
      </c>
      <c r="K250">
        <v>5</v>
      </c>
      <c r="L250">
        <v>37</v>
      </c>
      <c r="M250">
        <v>67</v>
      </c>
      <c r="N250">
        <f>IF(Table1[[#This Row],[Employment_Status]]="Exited",1,0)</f>
        <v>0</v>
      </c>
      <c r="O250" t="str" cm="1">
        <f t="array" ref="O250">_xlfn.IFS(AND(Table1[[#This Row],[Age]]&gt;=22,Table1[[#This Row],[Age]]&lt;=35),"22-35",AND(Table1[[#This Row],[Age]]&gt;=36,Table1[[#This Row],[Age]]&lt;=45),"36-45",AND(Table1[[#This Row],[Age]]&gt;=46,Table1[[#This Row],[Age]]&lt;=55),"46-55")</f>
        <v>46-55</v>
      </c>
      <c r="P250">
        <f>IF(Table1[[#This Row],[Employment_Status]]="active",1,0)</f>
        <v>1</v>
      </c>
      <c r="Q250">
        <v>1</v>
      </c>
      <c r="R250" s="6">
        <f ca="1">YEARFRAC(Table1[[#This Row],[Hire_Date]],IF(Table1[[#This Row],[Employment_Status]]="Exited",Table1[[#This Row],[Exit_Date]],TODAY()))</f>
        <v>4.25</v>
      </c>
      <c r="S250" t="str" cm="1">
        <f t="array" aca="1" ref="S250" ca="1">_xlfn.IFS(AND(Table1[[#This Row],[Tenure]]&gt;=0,Table1[[#This Row],[Tenure]]&lt;=1),"0-1",AND(Table1[[#This Row],[Tenure]]&gt;1,Table1[[#This Row],[Tenure]]&lt;=3),"1-3",AND(Table1[[#This Row],[Tenure]]&gt;3,Table1[[#This Row],[Tenure]]&lt;=5),"3-5",AND(Table1[[#This Row],[Tenure]]&gt;5,Table1[[#This Row],[Tenure]]&lt;=8),"5-8")</f>
        <v>3-5</v>
      </c>
      <c r="T250" t="str" cm="1">
        <f t="array" ref="T250">_xlfn.IFS(AND(Table1[[#This Row],[Salary]]&gt;=180000, Table1[[#This Row],[Salary]] &lt;=500000),"Low (180k-500k)", AND(Table1[[#This Row],[Salary]]&gt;500000, Table1[[#This Row],[Salary]]&lt;=800000), "Medium (501k-800k)", AND(Table1[[#This Row],[Salary]]&gt;800000, Table1[[#This Row],[Salary]]&lt;1200000), "High (801k - 1.2m)")</f>
        <v>Low (180k-500k)</v>
      </c>
    </row>
    <row r="251" spans="1:20" x14ac:dyDescent="0.2">
      <c r="A251">
        <v>250</v>
      </c>
      <c r="B251" t="s">
        <v>29</v>
      </c>
      <c r="C251" t="s">
        <v>14</v>
      </c>
      <c r="D251">
        <v>29</v>
      </c>
      <c r="E251" t="s">
        <v>45</v>
      </c>
      <c r="F251" t="s">
        <v>34</v>
      </c>
      <c r="G251">
        <v>551763</v>
      </c>
      <c r="H251" t="s">
        <v>308</v>
      </c>
      <c r="J251" t="s">
        <v>18</v>
      </c>
      <c r="K251">
        <v>5</v>
      </c>
      <c r="L251">
        <v>44</v>
      </c>
      <c r="M251">
        <v>78</v>
      </c>
      <c r="N251">
        <f>IF(Table1[[#This Row],[Employment_Status]]="Exited",1,0)</f>
        <v>0</v>
      </c>
      <c r="O251" t="str" cm="1">
        <f t="array" ref="O251">_xlfn.IFS(AND(Table1[[#This Row],[Age]]&gt;=22,Table1[[#This Row],[Age]]&lt;=35),"22-35",AND(Table1[[#This Row],[Age]]&gt;=36,Table1[[#This Row],[Age]]&lt;=45),"36-45",AND(Table1[[#This Row],[Age]]&gt;=46,Table1[[#This Row],[Age]]&lt;=55),"46-55")</f>
        <v>22-35</v>
      </c>
      <c r="P251">
        <f>IF(Table1[[#This Row],[Employment_Status]]="active",1,0)</f>
        <v>1</v>
      </c>
      <c r="Q251">
        <v>1</v>
      </c>
      <c r="R251" s="6">
        <f ca="1">YEARFRAC(Table1[[#This Row],[Hire_Date]],IF(Table1[[#This Row],[Employment_Status]]="Exited",Table1[[#This Row],[Exit_Date]],TODAY()))</f>
        <v>7.3638888888888889</v>
      </c>
      <c r="S251" t="str" cm="1">
        <f t="array" aca="1" ref="S251" ca="1">_xlfn.IFS(AND(Table1[[#This Row],[Tenure]]&gt;=0,Table1[[#This Row],[Tenure]]&lt;=1),"0-1",AND(Table1[[#This Row],[Tenure]]&gt;1,Table1[[#This Row],[Tenure]]&lt;=3),"1-3",AND(Table1[[#This Row],[Tenure]]&gt;3,Table1[[#This Row],[Tenure]]&lt;=5),"3-5",AND(Table1[[#This Row],[Tenure]]&gt;5,Table1[[#This Row],[Tenure]]&lt;=8),"5-8")</f>
        <v>5-8</v>
      </c>
      <c r="T251" t="str" cm="1">
        <f t="array" ref="T251">_xlfn.IFS(AND(Table1[[#This Row],[Salary]]&gt;=180000, Table1[[#This Row],[Salary]] &lt;=500000),"Low (180k-500k)", AND(Table1[[#This Row],[Salary]]&gt;500000, Table1[[#This Row],[Salary]]&lt;=800000), "Medium (501k-800k)", AND(Table1[[#This Row],[Salary]]&gt;800000, Table1[[#This Row],[Salary]]&lt;1200000), "High (801k - 1.2m)")</f>
        <v>Medium (501k-800k)</v>
      </c>
    </row>
    <row r="252" spans="1:20" x14ac:dyDescent="0.2">
      <c r="A252">
        <v>251</v>
      </c>
      <c r="B252" t="s">
        <v>75</v>
      </c>
      <c r="C252" t="s">
        <v>20</v>
      </c>
      <c r="D252">
        <v>43</v>
      </c>
      <c r="E252" t="s">
        <v>15</v>
      </c>
      <c r="F252" t="s">
        <v>22</v>
      </c>
      <c r="G252">
        <v>594168</v>
      </c>
      <c r="H252" t="s">
        <v>309</v>
      </c>
      <c r="J252" t="s">
        <v>18</v>
      </c>
      <c r="K252">
        <v>4</v>
      </c>
      <c r="L252">
        <v>13</v>
      </c>
      <c r="M252">
        <v>86</v>
      </c>
      <c r="N252">
        <f>IF(Table1[[#This Row],[Employment_Status]]="Exited",1,0)</f>
        <v>0</v>
      </c>
      <c r="O252" t="str" cm="1">
        <f t="array" ref="O252">_xlfn.IFS(AND(Table1[[#This Row],[Age]]&gt;=22,Table1[[#This Row],[Age]]&lt;=35),"22-35",AND(Table1[[#This Row],[Age]]&gt;=36,Table1[[#This Row],[Age]]&lt;=45),"36-45",AND(Table1[[#This Row],[Age]]&gt;=46,Table1[[#This Row],[Age]]&lt;=55),"46-55")</f>
        <v>36-45</v>
      </c>
      <c r="P252">
        <f>IF(Table1[[#This Row],[Employment_Status]]="active",1,0)</f>
        <v>1</v>
      </c>
      <c r="Q252">
        <v>1</v>
      </c>
      <c r="R252" s="6">
        <f ca="1">YEARFRAC(Table1[[#This Row],[Hire_Date]],IF(Table1[[#This Row],[Employment_Status]]="Exited",Table1[[#This Row],[Exit_Date]],TODAY()))</f>
        <v>4.8388888888888886</v>
      </c>
      <c r="S252" t="str" cm="1">
        <f t="array" aca="1" ref="S252" ca="1">_xlfn.IFS(AND(Table1[[#This Row],[Tenure]]&gt;=0,Table1[[#This Row],[Tenure]]&lt;=1),"0-1",AND(Table1[[#This Row],[Tenure]]&gt;1,Table1[[#This Row],[Tenure]]&lt;=3),"1-3",AND(Table1[[#This Row],[Tenure]]&gt;3,Table1[[#This Row],[Tenure]]&lt;=5),"3-5",AND(Table1[[#This Row],[Tenure]]&gt;5,Table1[[#This Row],[Tenure]]&lt;=8),"5-8")</f>
        <v>3-5</v>
      </c>
      <c r="T252" t="str" cm="1">
        <f t="array" ref="T252">_xlfn.IFS(AND(Table1[[#This Row],[Salary]]&gt;=180000, Table1[[#This Row],[Salary]] &lt;=500000),"Low (180k-500k)", AND(Table1[[#This Row],[Salary]]&gt;500000, Table1[[#This Row],[Salary]]&lt;=800000), "Medium (501k-800k)", AND(Table1[[#This Row],[Salary]]&gt;800000, Table1[[#This Row],[Salary]]&lt;1200000), "High (801k - 1.2m)")</f>
        <v>Medium (501k-800k)</v>
      </c>
    </row>
    <row r="253" spans="1:20" x14ac:dyDescent="0.2">
      <c r="A253">
        <v>252</v>
      </c>
      <c r="B253" t="s">
        <v>24</v>
      </c>
      <c r="C253" t="s">
        <v>14</v>
      </c>
      <c r="D253">
        <v>44</v>
      </c>
      <c r="E253" t="s">
        <v>21</v>
      </c>
      <c r="F253" t="s">
        <v>22</v>
      </c>
      <c r="G253">
        <v>555710</v>
      </c>
      <c r="H253" t="s">
        <v>310</v>
      </c>
      <c r="I253" t="s">
        <v>311</v>
      </c>
      <c r="J253" t="s">
        <v>55</v>
      </c>
      <c r="K253">
        <v>1</v>
      </c>
      <c r="L253">
        <v>23</v>
      </c>
      <c r="M253">
        <v>93</v>
      </c>
      <c r="N253">
        <f>IF(Table1[[#This Row],[Employment_Status]]="Exited",1,0)</f>
        <v>1</v>
      </c>
      <c r="O253" t="str" cm="1">
        <f t="array" ref="O253">_xlfn.IFS(AND(Table1[[#This Row],[Age]]&gt;=22,Table1[[#This Row],[Age]]&lt;=35),"22-35",AND(Table1[[#This Row],[Age]]&gt;=36,Table1[[#This Row],[Age]]&lt;=45),"36-45",AND(Table1[[#This Row],[Age]]&gt;=46,Table1[[#This Row],[Age]]&lt;=55),"46-55")</f>
        <v>36-45</v>
      </c>
      <c r="P253">
        <f>IF(Table1[[#This Row],[Employment_Status]]="active",1,0)</f>
        <v>0</v>
      </c>
      <c r="Q253">
        <v>1</v>
      </c>
      <c r="R253" s="6">
        <f ca="1">YEARFRAC(Table1[[#This Row],[Hire_Date]],IF(Table1[[#This Row],[Employment_Status]]="Exited",Table1[[#This Row],[Exit_Date]],TODAY()))</f>
        <v>2.6</v>
      </c>
      <c r="S253" t="str" cm="1">
        <f t="array" aca="1" ref="S253" ca="1">_xlfn.IFS(AND(Table1[[#This Row],[Tenure]]&gt;=0,Table1[[#This Row],[Tenure]]&lt;=1),"0-1",AND(Table1[[#This Row],[Tenure]]&gt;1,Table1[[#This Row],[Tenure]]&lt;=3),"1-3",AND(Table1[[#This Row],[Tenure]]&gt;3,Table1[[#This Row],[Tenure]]&lt;=5),"3-5",AND(Table1[[#This Row],[Tenure]]&gt;5,Table1[[#This Row],[Tenure]]&lt;=8),"5-8")</f>
        <v>1-3</v>
      </c>
      <c r="T253" t="str" cm="1">
        <f t="array" ref="T253">_xlfn.IFS(AND(Table1[[#This Row],[Salary]]&gt;=180000, Table1[[#This Row],[Salary]] &lt;=500000),"Low (180k-500k)", AND(Table1[[#This Row],[Salary]]&gt;500000, Table1[[#This Row],[Salary]]&lt;=800000), "Medium (501k-800k)", AND(Table1[[#This Row],[Salary]]&gt;800000, Table1[[#This Row],[Salary]]&lt;1200000), "High (801k - 1.2m)")</f>
        <v>Medium (501k-800k)</v>
      </c>
    </row>
    <row r="254" spans="1:20" x14ac:dyDescent="0.2">
      <c r="A254">
        <v>253</v>
      </c>
      <c r="B254" t="s">
        <v>36</v>
      </c>
      <c r="C254" t="s">
        <v>20</v>
      </c>
      <c r="D254">
        <v>44</v>
      </c>
      <c r="E254" t="s">
        <v>15</v>
      </c>
      <c r="F254" t="s">
        <v>34</v>
      </c>
      <c r="G254">
        <v>403184</v>
      </c>
      <c r="H254" t="s">
        <v>312</v>
      </c>
      <c r="J254" t="s">
        <v>18</v>
      </c>
      <c r="K254">
        <v>4</v>
      </c>
      <c r="L254">
        <v>37</v>
      </c>
      <c r="M254">
        <v>100</v>
      </c>
      <c r="N254">
        <f>IF(Table1[[#This Row],[Employment_Status]]="Exited",1,0)</f>
        <v>0</v>
      </c>
      <c r="O254" t="str" cm="1">
        <f t="array" ref="O254">_xlfn.IFS(AND(Table1[[#This Row],[Age]]&gt;=22,Table1[[#This Row],[Age]]&lt;=35),"22-35",AND(Table1[[#This Row],[Age]]&gt;=36,Table1[[#This Row],[Age]]&lt;=45),"36-45",AND(Table1[[#This Row],[Age]]&gt;=46,Table1[[#This Row],[Age]]&lt;=55),"46-55")</f>
        <v>36-45</v>
      </c>
      <c r="P254">
        <f>IF(Table1[[#This Row],[Employment_Status]]="active",1,0)</f>
        <v>1</v>
      </c>
      <c r="Q254">
        <v>1</v>
      </c>
      <c r="R254" s="6">
        <f ca="1">YEARFRAC(Table1[[#This Row],[Hire_Date]],IF(Table1[[#This Row],[Employment_Status]]="Exited",Table1[[#This Row],[Exit_Date]],TODAY()))</f>
        <v>4.8555555555555552</v>
      </c>
      <c r="S254" t="str" cm="1">
        <f t="array" aca="1" ref="S254" ca="1">_xlfn.IFS(AND(Table1[[#This Row],[Tenure]]&gt;=0,Table1[[#This Row],[Tenure]]&lt;=1),"0-1",AND(Table1[[#This Row],[Tenure]]&gt;1,Table1[[#This Row],[Tenure]]&lt;=3),"1-3",AND(Table1[[#This Row],[Tenure]]&gt;3,Table1[[#This Row],[Tenure]]&lt;=5),"3-5",AND(Table1[[#This Row],[Tenure]]&gt;5,Table1[[#This Row],[Tenure]]&lt;=8),"5-8")</f>
        <v>3-5</v>
      </c>
      <c r="T254" t="str" cm="1">
        <f t="array" ref="T254">_xlfn.IFS(AND(Table1[[#This Row],[Salary]]&gt;=180000, Table1[[#This Row],[Salary]] &lt;=500000),"Low (180k-500k)", AND(Table1[[#This Row],[Salary]]&gt;500000, Table1[[#This Row],[Salary]]&lt;=800000), "Medium (501k-800k)", AND(Table1[[#This Row],[Salary]]&gt;800000, Table1[[#This Row],[Salary]]&lt;1200000), "High (801k - 1.2m)")</f>
        <v>Low (180k-500k)</v>
      </c>
    </row>
    <row r="255" spans="1:20" x14ac:dyDescent="0.2">
      <c r="A255">
        <v>254</v>
      </c>
      <c r="B255" t="s">
        <v>58</v>
      </c>
      <c r="C255" t="s">
        <v>20</v>
      </c>
      <c r="D255">
        <v>38</v>
      </c>
      <c r="E255" t="s">
        <v>15</v>
      </c>
      <c r="F255" t="s">
        <v>34</v>
      </c>
      <c r="G255">
        <v>900667</v>
      </c>
      <c r="H255" t="s">
        <v>313</v>
      </c>
      <c r="J255" t="s">
        <v>18</v>
      </c>
      <c r="K255">
        <v>2</v>
      </c>
      <c r="L255">
        <v>8</v>
      </c>
      <c r="M255">
        <v>94</v>
      </c>
      <c r="N255">
        <f>IF(Table1[[#This Row],[Employment_Status]]="Exited",1,0)</f>
        <v>0</v>
      </c>
      <c r="O255" t="str" cm="1">
        <f t="array" ref="O255">_xlfn.IFS(AND(Table1[[#This Row],[Age]]&gt;=22,Table1[[#This Row],[Age]]&lt;=35),"22-35",AND(Table1[[#This Row],[Age]]&gt;=36,Table1[[#This Row],[Age]]&lt;=45),"36-45",AND(Table1[[#This Row],[Age]]&gt;=46,Table1[[#This Row],[Age]]&lt;=55),"46-55")</f>
        <v>36-45</v>
      </c>
      <c r="P255">
        <f>IF(Table1[[#This Row],[Employment_Status]]="active",1,0)</f>
        <v>1</v>
      </c>
      <c r="Q255">
        <v>1</v>
      </c>
      <c r="R255" s="6">
        <f ca="1">YEARFRAC(Table1[[#This Row],[Hire_Date]],IF(Table1[[#This Row],[Employment_Status]]="Exited",Table1[[#This Row],[Exit_Date]],TODAY()))</f>
        <v>2.6</v>
      </c>
      <c r="S255" t="str" cm="1">
        <f t="array" aca="1" ref="S255" ca="1">_xlfn.IFS(AND(Table1[[#This Row],[Tenure]]&gt;=0,Table1[[#This Row],[Tenure]]&lt;=1),"0-1",AND(Table1[[#This Row],[Tenure]]&gt;1,Table1[[#This Row],[Tenure]]&lt;=3),"1-3",AND(Table1[[#This Row],[Tenure]]&gt;3,Table1[[#This Row],[Tenure]]&lt;=5),"3-5",AND(Table1[[#This Row],[Tenure]]&gt;5,Table1[[#This Row],[Tenure]]&lt;=8),"5-8")</f>
        <v>1-3</v>
      </c>
      <c r="T255" t="str" cm="1">
        <f t="array" ref="T255">_xlfn.IFS(AND(Table1[[#This Row],[Salary]]&gt;=180000, Table1[[#This Row],[Salary]] &lt;=500000),"Low (180k-500k)", AND(Table1[[#This Row],[Salary]]&gt;500000, Table1[[#This Row],[Salary]]&lt;=800000), "Medium (501k-800k)", AND(Table1[[#This Row],[Salary]]&gt;800000, Table1[[#This Row],[Salary]]&lt;1200000), "High (801k - 1.2m)")</f>
        <v>High (801k - 1.2m)</v>
      </c>
    </row>
    <row r="256" spans="1:20" x14ac:dyDescent="0.2">
      <c r="A256">
        <v>255</v>
      </c>
      <c r="B256" t="s">
        <v>13</v>
      </c>
      <c r="C256" t="s">
        <v>20</v>
      </c>
      <c r="D256">
        <v>25</v>
      </c>
      <c r="E256" t="s">
        <v>15</v>
      </c>
      <c r="F256" t="s">
        <v>34</v>
      </c>
      <c r="G256">
        <v>999406</v>
      </c>
      <c r="H256" t="s">
        <v>289</v>
      </c>
      <c r="I256" t="s">
        <v>314</v>
      </c>
      <c r="J256" t="s">
        <v>55</v>
      </c>
      <c r="K256">
        <v>3</v>
      </c>
      <c r="L256">
        <v>5</v>
      </c>
      <c r="M256">
        <v>81</v>
      </c>
      <c r="N256">
        <f>IF(Table1[[#This Row],[Employment_Status]]="Exited",1,0)</f>
        <v>1</v>
      </c>
      <c r="O256" t="str" cm="1">
        <f t="array" ref="O256">_xlfn.IFS(AND(Table1[[#This Row],[Age]]&gt;=22,Table1[[#This Row],[Age]]&lt;=35),"22-35",AND(Table1[[#This Row],[Age]]&gt;=36,Table1[[#This Row],[Age]]&lt;=45),"36-45",AND(Table1[[#This Row],[Age]]&gt;=46,Table1[[#This Row],[Age]]&lt;=55),"46-55")</f>
        <v>22-35</v>
      </c>
      <c r="P256">
        <f>IF(Table1[[#This Row],[Employment_Status]]="active",1,0)</f>
        <v>0</v>
      </c>
      <c r="Q256">
        <v>1</v>
      </c>
      <c r="R256" s="6">
        <f ca="1">YEARFRAC(Table1[[#This Row],[Hire_Date]],IF(Table1[[#This Row],[Employment_Status]]="Exited",Table1[[#This Row],[Exit_Date]],TODAY()))</f>
        <v>1.8861111111111111</v>
      </c>
      <c r="S256" t="str" cm="1">
        <f t="array" aca="1" ref="S256" ca="1">_xlfn.IFS(AND(Table1[[#This Row],[Tenure]]&gt;=0,Table1[[#This Row],[Tenure]]&lt;=1),"0-1",AND(Table1[[#This Row],[Tenure]]&gt;1,Table1[[#This Row],[Tenure]]&lt;=3),"1-3",AND(Table1[[#This Row],[Tenure]]&gt;3,Table1[[#This Row],[Tenure]]&lt;=5),"3-5",AND(Table1[[#This Row],[Tenure]]&gt;5,Table1[[#This Row],[Tenure]]&lt;=8),"5-8")</f>
        <v>1-3</v>
      </c>
      <c r="T256" t="str" cm="1">
        <f t="array" ref="T256">_xlfn.IFS(AND(Table1[[#This Row],[Salary]]&gt;=180000, Table1[[#This Row],[Salary]] &lt;=500000),"Low (180k-500k)", AND(Table1[[#This Row],[Salary]]&gt;500000, Table1[[#This Row],[Salary]]&lt;=800000), "Medium (501k-800k)", AND(Table1[[#This Row],[Salary]]&gt;800000, Table1[[#This Row],[Salary]]&lt;1200000), "High (801k - 1.2m)")</f>
        <v>High (801k - 1.2m)</v>
      </c>
    </row>
    <row r="257" spans="1:20" x14ac:dyDescent="0.2">
      <c r="A257">
        <v>256</v>
      </c>
      <c r="B257" t="s">
        <v>75</v>
      </c>
      <c r="C257" t="s">
        <v>14</v>
      </c>
      <c r="D257">
        <v>24</v>
      </c>
      <c r="E257" t="s">
        <v>45</v>
      </c>
      <c r="F257" t="s">
        <v>22</v>
      </c>
      <c r="G257">
        <v>328431</v>
      </c>
      <c r="H257" t="s">
        <v>315</v>
      </c>
      <c r="J257" t="s">
        <v>18</v>
      </c>
      <c r="K257">
        <v>2</v>
      </c>
      <c r="L257">
        <v>27</v>
      </c>
      <c r="M257">
        <v>96</v>
      </c>
      <c r="N257">
        <f>IF(Table1[[#This Row],[Employment_Status]]="Exited",1,0)</f>
        <v>0</v>
      </c>
      <c r="O257" t="str" cm="1">
        <f t="array" ref="O257">_xlfn.IFS(AND(Table1[[#This Row],[Age]]&gt;=22,Table1[[#This Row],[Age]]&lt;=35),"22-35",AND(Table1[[#This Row],[Age]]&gt;=36,Table1[[#This Row],[Age]]&lt;=45),"36-45",AND(Table1[[#This Row],[Age]]&gt;=46,Table1[[#This Row],[Age]]&lt;=55),"46-55")</f>
        <v>22-35</v>
      </c>
      <c r="P257">
        <f>IF(Table1[[#This Row],[Employment_Status]]="active",1,0)</f>
        <v>1</v>
      </c>
      <c r="Q257">
        <v>1</v>
      </c>
      <c r="R257" s="6">
        <f ca="1">YEARFRAC(Table1[[#This Row],[Hire_Date]],IF(Table1[[#This Row],[Employment_Status]]="Exited",Table1[[#This Row],[Exit_Date]],TODAY()))</f>
        <v>6.9972222222222218</v>
      </c>
      <c r="S257" t="str" cm="1">
        <f t="array" aca="1" ref="S257" ca="1">_xlfn.IFS(AND(Table1[[#This Row],[Tenure]]&gt;=0,Table1[[#This Row],[Tenure]]&lt;=1),"0-1",AND(Table1[[#This Row],[Tenure]]&gt;1,Table1[[#This Row],[Tenure]]&lt;=3),"1-3",AND(Table1[[#This Row],[Tenure]]&gt;3,Table1[[#This Row],[Tenure]]&lt;=5),"3-5",AND(Table1[[#This Row],[Tenure]]&gt;5,Table1[[#This Row],[Tenure]]&lt;=8),"5-8")</f>
        <v>5-8</v>
      </c>
      <c r="T257" t="str" cm="1">
        <f t="array" ref="T257">_xlfn.IFS(AND(Table1[[#This Row],[Salary]]&gt;=180000, Table1[[#This Row],[Salary]] &lt;=500000),"Low (180k-500k)", AND(Table1[[#This Row],[Salary]]&gt;500000, Table1[[#This Row],[Salary]]&lt;=800000), "Medium (501k-800k)", AND(Table1[[#This Row],[Salary]]&gt;800000, Table1[[#This Row],[Salary]]&lt;1200000), "High (801k - 1.2m)")</f>
        <v>Low (180k-500k)</v>
      </c>
    </row>
    <row r="258" spans="1:20" x14ac:dyDescent="0.2">
      <c r="A258">
        <v>257</v>
      </c>
      <c r="B258" t="s">
        <v>29</v>
      </c>
      <c r="C258" t="s">
        <v>20</v>
      </c>
      <c r="D258">
        <v>32</v>
      </c>
      <c r="E258" t="s">
        <v>45</v>
      </c>
      <c r="F258" t="s">
        <v>27</v>
      </c>
      <c r="G258">
        <v>378162</v>
      </c>
      <c r="H258" t="s">
        <v>316</v>
      </c>
      <c r="J258" t="s">
        <v>18</v>
      </c>
      <c r="K258">
        <v>4</v>
      </c>
      <c r="L258">
        <v>2</v>
      </c>
      <c r="M258">
        <v>67</v>
      </c>
      <c r="N258">
        <f>IF(Table1[[#This Row],[Employment_Status]]="Exited",1,0)</f>
        <v>0</v>
      </c>
      <c r="O258" t="str" cm="1">
        <f t="array" ref="O258">_xlfn.IFS(AND(Table1[[#This Row],[Age]]&gt;=22,Table1[[#This Row],[Age]]&lt;=35),"22-35",AND(Table1[[#This Row],[Age]]&gt;=36,Table1[[#This Row],[Age]]&lt;=45),"36-45",AND(Table1[[#This Row],[Age]]&gt;=46,Table1[[#This Row],[Age]]&lt;=55),"46-55")</f>
        <v>22-35</v>
      </c>
      <c r="P258">
        <f>IF(Table1[[#This Row],[Employment_Status]]="active",1,0)</f>
        <v>1</v>
      </c>
      <c r="Q258">
        <v>1</v>
      </c>
      <c r="R258" s="6">
        <f ca="1">YEARFRAC(Table1[[#This Row],[Hire_Date]],IF(Table1[[#This Row],[Employment_Status]]="Exited",Table1[[#This Row],[Exit_Date]],TODAY()))</f>
        <v>6.5861111111111112</v>
      </c>
      <c r="S258" t="str" cm="1">
        <f t="array" aca="1" ref="S258" ca="1">_xlfn.IFS(AND(Table1[[#This Row],[Tenure]]&gt;=0,Table1[[#This Row],[Tenure]]&lt;=1),"0-1",AND(Table1[[#This Row],[Tenure]]&gt;1,Table1[[#This Row],[Tenure]]&lt;=3),"1-3",AND(Table1[[#This Row],[Tenure]]&gt;3,Table1[[#This Row],[Tenure]]&lt;=5),"3-5",AND(Table1[[#This Row],[Tenure]]&gt;5,Table1[[#This Row],[Tenure]]&lt;=8),"5-8")</f>
        <v>5-8</v>
      </c>
      <c r="T258" t="str" cm="1">
        <f t="array" ref="T258">_xlfn.IFS(AND(Table1[[#This Row],[Salary]]&gt;=180000, Table1[[#This Row],[Salary]] &lt;=500000),"Low (180k-500k)", AND(Table1[[#This Row],[Salary]]&gt;500000, Table1[[#This Row],[Salary]]&lt;=800000), "Medium (501k-800k)", AND(Table1[[#This Row],[Salary]]&gt;800000, Table1[[#This Row],[Salary]]&lt;1200000), "High (801k - 1.2m)")</f>
        <v>Low (180k-500k)</v>
      </c>
    </row>
    <row r="259" spans="1:20" x14ac:dyDescent="0.2">
      <c r="A259">
        <v>258</v>
      </c>
      <c r="B259" t="s">
        <v>13</v>
      </c>
      <c r="C259" t="s">
        <v>14</v>
      </c>
      <c r="D259">
        <v>55</v>
      </c>
      <c r="E259" t="s">
        <v>21</v>
      </c>
      <c r="F259" t="s">
        <v>27</v>
      </c>
      <c r="G259">
        <v>689157</v>
      </c>
      <c r="H259" t="s">
        <v>317</v>
      </c>
      <c r="J259" t="s">
        <v>18</v>
      </c>
      <c r="K259">
        <v>2</v>
      </c>
      <c r="L259">
        <v>23</v>
      </c>
      <c r="M259">
        <v>86</v>
      </c>
      <c r="N259">
        <f>IF(Table1[[#This Row],[Employment_Status]]="Exited",1,0)</f>
        <v>0</v>
      </c>
      <c r="O259" t="str" cm="1">
        <f t="array" ref="O259">_xlfn.IFS(AND(Table1[[#This Row],[Age]]&gt;=22,Table1[[#This Row],[Age]]&lt;=35),"22-35",AND(Table1[[#This Row],[Age]]&gt;=36,Table1[[#This Row],[Age]]&lt;=45),"36-45",AND(Table1[[#This Row],[Age]]&gt;=46,Table1[[#This Row],[Age]]&lt;=55),"46-55")</f>
        <v>46-55</v>
      </c>
      <c r="P259">
        <f>IF(Table1[[#This Row],[Employment_Status]]="active",1,0)</f>
        <v>1</v>
      </c>
      <c r="Q259">
        <v>1</v>
      </c>
      <c r="R259" s="6">
        <f ca="1">YEARFRAC(Table1[[#This Row],[Hire_Date]],IF(Table1[[#This Row],[Employment_Status]]="Exited",Table1[[#This Row],[Exit_Date]],TODAY()))</f>
        <v>3.1027777777777779</v>
      </c>
      <c r="S259" t="str" cm="1">
        <f t="array" aca="1" ref="S259" ca="1">_xlfn.IFS(AND(Table1[[#This Row],[Tenure]]&gt;=0,Table1[[#This Row],[Tenure]]&lt;=1),"0-1",AND(Table1[[#This Row],[Tenure]]&gt;1,Table1[[#This Row],[Tenure]]&lt;=3),"1-3",AND(Table1[[#This Row],[Tenure]]&gt;3,Table1[[#This Row],[Tenure]]&lt;=5),"3-5",AND(Table1[[#This Row],[Tenure]]&gt;5,Table1[[#This Row],[Tenure]]&lt;=8),"5-8")</f>
        <v>3-5</v>
      </c>
      <c r="T259" t="str" cm="1">
        <f t="array" ref="T259">_xlfn.IFS(AND(Table1[[#This Row],[Salary]]&gt;=180000, Table1[[#This Row],[Salary]] &lt;=500000),"Low (180k-500k)", AND(Table1[[#This Row],[Salary]]&gt;500000, Table1[[#This Row],[Salary]]&lt;=800000), "Medium (501k-800k)", AND(Table1[[#This Row],[Salary]]&gt;800000, Table1[[#This Row],[Salary]]&lt;1200000), "High (801k - 1.2m)")</f>
        <v>Medium (501k-800k)</v>
      </c>
    </row>
    <row r="260" spans="1:20" x14ac:dyDescent="0.2">
      <c r="A260">
        <v>259</v>
      </c>
      <c r="B260" t="s">
        <v>29</v>
      </c>
      <c r="C260" t="s">
        <v>20</v>
      </c>
      <c r="D260">
        <v>42</v>
      </c>
      <c r="E260" t="s">
        <v>61</v>
      </c>
      <c r="F260" t="s">
        <v>22</v>
      </c>
      <c r="G260">
        <v>195417</v>
      </c>
      <c r="H260" t="s">
        <v>77</v>
      </c>
      <c r="J260" t="s">
        <v>18</v>
      </c>
      <c r="K260">
        <v>3</v>
      </c>
      <c r="L260">
        <v>9</v>
      </c>
      <c r="M260">
        <v>65</v>
      </c>
      <c r="N260">
        <f>IF(Table1[[#This Row],[Employment_Status]]="Exited",1,0)</f>
        <v>0</v>
      </c>
      <c r="O260" t="str" cm="1">
        <f t="array" ref="O260">_xlfn.IFS(AND(Table1[[#This Row],[Age]]&gt;=22,Table1[[#This Row],[Age]]&lt;=35),"22-35",AND(Table1[[#This Row],[Age]]&gt;=36,Table1[[#This Row],[Age]]&lt;=45),"36-45",AND(Table1[[#This Row],[Age]]&gt;=46,Table1[[#This Row],[Age]]&lt;=55),"46-55")</f>
        <v>36-45</v>
      </c>
      <c r="P260">
        <f>IF(Table1[[#This Row],[Employment_Status]]="active",1,0)</f>
        <v>1</v>
      </c>
      <c r="Q260">
        <v>1</v>
      </c>
      <c r="R260" s="6">
        <f ca="1">YEARFRAC(Table1[[#This Row],[Hire_Date]],IF(Table1[[#This Row],[Employment_Status]]="Exited",Table1[[#This Row],[Exit_Date]],TODAY()))</f>
        <v>3.0805555555555557</v>
      </c>
      <c r="S260" t="str" cm="1">
        <f t="array" aca="1" ref="S260" ca="1">_xlfn.IFS(AND(Table1[[#This Row],[Tenure]]&gt;=0,Table1[[#This Row],[Tenure]]&lt;=1),"0-1",AND(Table1[[#This Row],[Tenure]]&gt;1,Table1[[#This Row],[Tenure]]&lt;=3),"1-3",AND(Table1[[#This Row],[Tenure]]&gt;3,Table1[[#This Row],[Tenure]]&lt;=5),"3-5",AND(Table1[[#This Row],[Tenure]]&gt;5,Table1[[#This Row],[Tenure]]&lt;=8),"5-8")</f>
        <v>3-5</v>
      </c>
      <c r="T260" t="str" cm="1">
        <f t="array" ref="T260">_xlfn.IFS(AND(Table1[[#This Row],[Salary]]&gt;=180000, Table1[[#This Row],[Salary]] &lt;=500000),"Low (180k-500k)", AND(Table1[[#This Row],[Salary]]&gt;500000, Table1[[#This Row],[Salary]]&lt;=800000), "Medium (501k-800k)", AND(Table1[[#This Row],[Salary]]&gt;800000, Table1[[#This Row],[Salary]]&lt;1200000), "High (801k - 1.2m)")</f>
        <v>Low (180k-500k)</v>
      </c>
    </row>
    <row r="261" spans="1:20" x14ac:dyDescent="0.2">
      <c r="A261">
        <v>260</v>
      </c>
      <c r="B261" t="s">
        <v>47</v>
      </c>
      <c r="C261" t="s">
        <v>14</v>
      </c>
      <c r="D261">
        <v>43</v>
      </c>
      <c r="E261" t="s">
        <v>15</v>
      </c>
      <c r="F261" t="s">
        <v>27</v>
      </c>
      <c r="G261">
        <v>1134835</v>
      </c>
      <c r="H261" t="s">
        <v>318</v>
      </c>
      <c r="J261" t="s">
        <v>18</v>
      </c>
      <c r="K261">
        <v>4</v>
      </c>
      <c r="L261">
        <v>45</v>
      </c>
      <c r="M261">
        <v>88</v>
      </c>
      <c r="N261">
        <f>IF(Table1[[#This Row],[Employment_Status]]="Exited",1,0)</f>
        <v>0</v>
      </c>
      <c r="O261" t="str" cm="1">
        <f t="array" ref="O261">_xlfn.IFS(AND(Table1[[#This Row],[Age]]&gt;=22,Table1[[#This Row],[Age]]&lt;=35),"22-35",AND(Table1[[#This Row],[Age]]&gt;=36,Table1[[#This Row],[Age]]&lt;=45),"36-45",AND(Table1[[#This Row],[Age]]&gt;=46,Table1[[#This Row],[Age]]&lt;=55),"46-55")</f>
        <v>36-45</v>
      </c>
      <c r="P261">
        <f>IF(Table1[[#This Row],[Employment_Status]]="active",1,0)</f>
        <v>1</v>
      </c>
      <c r="Q261">
        <v>1</v>
      </c>
      <c r="R261" s="6">
        <f ca="1">YEARFRAC(Table1[[#This Row],[Hire_Date]],IF(Table1[[#This Row],[Employment_Status]]="Exited",Table1[[#This Row],[Exit_Date]],TODAY()))</f>
        <v>6.9611111111111112</v>
      </c>
      <c r="S261" t="str" cm="1">
        <f t="array" aca="1" ref="S261" ca="1">_xlfn.IFS(AND(Table1[[#This Row],[Tenure]]&gt;=0,Table1[[#This Row],[Tenure]]&lt;=1),"0-1",AND(Table1[[#This Row],[Tenure]]&gt;1,Table1[[#This Row],[Tenure]]&lt;=3),"1-3",AND(Table1[[#This Row],[Tenure]]&gt;3,Table1[[#This Row],[Tenure]]&lt;=5),"3-5",AND(Table1[[#This Row],[Tenure]]&gt;5,Table1[[#This Row],[Tenure]]&lt;=8),"5-8")</f>
        <v>5-8</v>
      </c>
      <c r="T261" t="str" cm="1">
        <f t="array" ref="T261">_xlfn.IFS(AND(Table1[[#This Row],[Salary]]&gt;=180000, Table1[[#This Row],[Salary]] &lt;=500000),"Low (180k-500k)", AND(Table1[[#This Row],[Salary]]&gt;500000, Table1[[#This Row],[Salary]]&lt;=800000), "Medium (501k-800k)", AND(Table1[[#This Row],[Salary]]&gt;800000, Table1[[#This Row],[Salary]]&lt;1200000), "High (801k - 1.2m)")</f>
        <v>High (801k - 1.2m)</v>
      </c>
    </row>
    <row r="262" spans="1:20" x14ac:dyDescent="0.2">
      <c r="A262">
        <v>261</v>
      </c>
      <c r="B262" t="s">
        <v>29</v>
      </c>
      <c r="C262" t="s">
        <v>20</v>
      </c>
      <c r="D262">
        <v>24</v>
      </c>
      <c r="E262" t="s">
        <v>15</v>
      </c>
      <c r="F262" t="s">
        <v>27</v>
      </c>
      <c r="G262">
        <v>849723</v>
      </c>
      <c r="H262" t="s">
        <v>319</v>
      </c>
      <c r="J262" t="s">
        <v>18</v>
      </c>
      <c r="K262">
        <v>3</v>
      </c>
      <c r="L262">
        <v>41</v>
      </c>
      <c r="M262">
        <v>73</v>
      </c>
      <c r="N262">
        <f>IF(Table1[[#This Row],[Employment_Status]]="Exited",1,0)</f>
        <v>0</v>
      </c>
      <c r="O262" t="str" cm="1">
        <f t="array" ref="O262">_xlfn.IFS(AND(Table1[[#This Row],[Age]]&gt;=22,Table1[[#This Row],[Age]]&lt;=35),"22-35",AND(Table1[[#This Row],[Age]]&gt;=36,Table1[[#This Row],[Age]]&lt;=45),"36-45",AND(Table1[[#This Row],[Age]]&gt;=46,Table1[[#This Row],[Age]]&lt;=55),"46-55")</f>
        <v>22-35</v>
      </c>
      <c r="P262">
        <f>IF(Table1[[#This Row],[Employment_Status]]="active",1,0)</f>
        <v>1</v>
      </c>
      <c r="Q262">
        <v>1</v>
      </c>
      <c r="R262" s="6">
        <f ca="1">YEARFRAC(Table1[[#This Row],[Hire_Date]],IF(Table1[[#This Row],[Employment_Status]]="Exited",Table1[[#This Row],[Exit_Date]],TODAY()))</f>
        <v>3.9416666666666669</v>
      </c>
      <c r="S262" t="str" cm="1">
        <f t="array" aca="1" ref="S262" ca="1">_xlfn.IFS(AND(Table1[[#This Row],[Tenure]]&gt;=0,Table1[[#This Row],[Tenure]]&lt;=1),"0-1",AND(Table1[[#This Row],[Tenure]]&gt;1,Table1[[#This Row],[Tenure]]&lt;=3),"1-3",AND(Table1[[#This Row],[Tenure]]&gt;3,Table1[[#This Row],[Tenure]]&lt;=5),"3-5",AND(Table1[[#This Row],[Tenure]]&gt;5,Table1[[#This Row],[Tenure]]&lt;=8),"5-8")</f>
        <v>3-5</v>
      </c>
      <c r="T262" t="str" cm="1">
        <f t="array" ref="T262">_xlfn.IFS(AND(Table1[[#This Row],[Salary]]&gt;=180000, Table1[[#This Row],[Salary]] &lt;=500000),"Low (180k-500k)", AND(Table1[[#This Row],[Salary]]&gt;500000, Table1[[#This Row],[Salary]]&lt;=800000), "Medium (501k-800k)", AND(Table1[[#This Row],[Salary]]&gt;800000, Table1[[#This Row],[Salary]]&lt;1200000), "High (801k - 1.2m)")</f>
        <v>High (801k - 1.2m)</v>
      </c>
    </row>
    <row r="263" spans="1:20" x14ac:dyDescent="0.2">
      <c r="A263">
        <v>262</v>
      </c>
      <c r="B263" t="s">
        <v>58</v>
      </c>
      <c r="C263" t="s">
        <v>20</v>
      </c>
      <c r="D263">
        <v>51</v>
      </c>
      <c r="E263" t="s">
        <v>15</v>
      </c>
      <c r="F263" t="s">
        <v>34</v>
      </c>
      <c r="G263">
        <v>850832</v>
      </c>
      <c r="H263" t="s">
        <v>320</v>
      </c>
      <c r="J263" t="s">
        <v>18</v>
      </c>
      <c r="K263">
        <v>5</v>
      </c>
      <c r="L263">
        <v>46</v>
      </c>
      <c r="M263">
        <v>92</v>
      </c>
      <c r="N263">
        <f>IF(Table1[[#This Row],[Employment_Status]]="Exited",1,0)</f>
        <v>0</v>
      </c>
      <c r="O263" t="str" cm="1">
        <f t="array" ref="O263">_xlfn.IFS(AND(Table1[[#This Row],[Age]]&gt;=22,Table1[[#This Row],[Age]]&lt;=35),"22-35",AND(Table1[[#This Row],[Age]]&gt;=36,Table1[[#This Row],[Age]]&lt;=45),"36-45",AND(Table1[[#This Row],[Age]]&gt;=46,Table1[[#This Row],[Age]]&lt;=55),"46-55")</f>
        <v>46-55</v>
      </c>
      <c r="P263">
        <f>IF(Table1[[#This Row],[Employment_Status]]="active",1,0)</f>
        <v>1</v>
      </c>
      <c r="Q263">
        <v>1</v>
      </c>
      <c r="R263" s="6">
        <f ca="1">YEARFRAC(Table1[[#This Row],[Hire_Date]],IF(Table1[[#This Row],[Employment_Status]]="Exited",Table1[[#This Row],[Exit_Date]],TODAY()))</f>
        <v>4.1555555555555559</v>
      </c>
      <c r="S263" t="str" cm="1">
        <f t="array" aca="1" ref="S263" ca="1">_xlfn.IFS(AND(Table1[[#This Row],[Tenure]]&gt;=0,Table1[[#This Row],[Tenure]]&lt;=1),"0-1",AND(Table1[[#This Row],[Tenure]]&gt;1,Table1[[#This Row],[Tenure]]&lt;=3),"1-3",AND(Table1[[#This Row],[Tenure]]&gt;3,Table1[[#This Row],[Tenure]]&lt;=5),"3-5",AND(Table1[[#This Row],[Tenure]]&gt;5,Table1[[#This Row],[Tenure]]&lt;=8),"5-8")</f>
        <v>3-5</v>
      </c>
      <c r="T263" t="str" cm="1">
        <f t="array" ref="T263">_xlfn.IFS(AND(Table1[[#This Row],[Salary]]&gt;=180000, Table1[[#This Row],[Salary]] &lt;=500000),"Low (180k-500k)", AND(Table1[[#This Row],[Salary]]&gt;500000, Table1[[#This Row],[Salary]]&lt;=800000), "Medium (501k-800k)", AND(Table1[[#This Row],[Salary]]&gt;800000, Table1[[#This Row],[Salary]]&lt;1200000), "High (801k - 1.2m)")</f>
        <v>High (801k - 1.2m)</v>
      </c>
    </row>
    <row r="264" spans="1:20" x14ac:dyDescent="0.2">
      <c r="A264">
        <v>263</v>
      </c>
      <c r="B264" t="s">
        <v>24</v>
      </c>
      <c r="C264" t="s">
        <v>20</v>
      </c>
      <c r="D264">
        <v>45</v>
      </c>
      <c r="E264" t="s">
        <v>15</v>
      </c>
      <c r="F264" t="s">
        <v>16</v>
      </c>
      <c r="G264">
        <v>879996</v>
      </c>
      <c r="H264" t="s">
        <v>321</v>
      </c>
      <c r="J264" t="s">
        <v>18</v>
      </c>
      <c r="K264">
        <v>3</v>
      </c>
      <c r="L264">
        <v>46</v>
      </c>
      <c r="M264">
        <v>66</v>
      </c>
      <c r="N264">
        <f>IF(Table1[[#This Row],[Employment_Status]]="Exited",1,0)</f>
        <v>0</v>
      </c>
      <c r="O264" t="str" cm="1">
        <f t="array" ref="O264">_xlfn.IFS(AND(Table1[[#This Row],[Age]]&gt;=22,Table1[[#This Row],[Age]]&lt;=35),"22-35",AND(Table1[[#This Row],[Age]]&gt;=36,Table1[[#This Row],[Age]]&lt;=45),"36-45",AND(Table1[[#This Row],[Age]]&gt;=46,Table1[[#This Row],[Age]]&lt;=55),"46-55")</f>
        <v>36-45</v>
      </c>
      <c r="P264">
        <f>IF(Table1[[#This Row],[Employment_Status]]="active",1,0)</f>
        <v>1</v>
      </c>
      <c r="Q264">
        <v>1</v>
      </c>
      <c r="R264" s="6">
        <f ca="1">YEARFRAC(Table1[[#This Row],[Hire_Date]],IF(Table1[[#This Row],[Employment_Status]]="Exited",Table1[[#This Row],[Exit_Date]],TODAY()))</f>
        <v>7.375</v>
      </c>
      <c r="S264" t="str" cm="1">
        <f t="array" aca="1" ref="S264" ca="1">_xlfn.IFS(AND(Table1[[#This Row],[Tenure]]&gt;=0,Table1[[#This Row],[Tenure]]&lt;=1),"0-1",AND(Table1[[#This Row],[Tenure]]&gt;1,Table1[[#This Row],[Tenure]]&lt;=3),"1-3",AND(Table1[[#This Row],[Tenure]]&gt;3,Table1[[#This Row],[Tenure]]&lt;=5),"3-5",AND(Table1[[#This Row],[Tenure]]&gt;5,Table1[[#This Row],[Tenure]]&lt;=8),"5-8")</f>
        <v>5-8</v>
      </c>
      <c r="T264" t="str" cm="1">
        <f t="array" ref="T264">_xlfn.IFS(AND(Table1[[#This Row],[Salary]]&gt;=180000, Table1[[#This Row],[Salary]] &lt;=500000),"Low (180k-500k)", AND(Table1[[#This Row],[Salary]]&gt;500000, Table1[[#This Row],[Salary]]&lt;=800000), "Medium (501k-800k)", AND(Table1[[#This Row],[Salary]]&gt;800000, Table1[[#This Row],[Salary]]&lt;1200000), "High (801k - 1.2m)")</f>
        <v>High (801k - 1.2m)</v>
      </c>
    </row>
    <row r="265" spans="1:20" x14ac:dyDescent="0.2">
      <c r="A265">
        <v>264</v>
      </c>
      <c r="B265" t="s">
        <v>75</v>
      </c>
      <c r="C265" t="s">
        <v>14</v>
      </c>
      <c r="D265">
        <v>22</v>
      </c>
      <c r="E265" t="s">
        <v>45</v>
      </c>
      <c r="F265" t="s">
        <v>16</v>
      </c>
      <c r="G265">
        <v>248839</v>
      </c>
      <c r="H265" t="s">
        <v>322</v>
      </c>
      <c r="J265" t="s">
        <v>18</v>
      </c>
      <c r="K265">
        <v>3</v>
      </c>
      <c r="L265">
        <v>25</v>
      </c>
      <c r="M265">
        <v>100</v>
      </c>
      <c r="N265">
        <f>IF(Table1[[#This Row],[Employment_Status]]="Exited",1,0)</f>
        <v>0</v>
      </c>
      <c r="O265" t="str" cm="1">
        <f t="array" ref="O265">_xlfn.IFS(AND(Table1[[#This Row],[Age]]&gt;=22,Table1[[#This Row],[Age]]&lt;=35),"22-35",AND(Table1[[#This Row],[Age]]&gt;=36,Table1[[#This Row],[Age]]&lt;=45),"36-45",AND(Table1[[#This Row],[Age]]&gt;=46,Table1[[#This Row],[Age]]&lt;=55),"46-55")</f>
        <v>22-35</v>
      </c>
      <c r="P265">
        <f>IF(Table1[[#This Row],[Employment_Status]]="active",1,0)</f>
        <v>1</v>
      </c>
      <c r="Q265">
        <v>1</v>
      </c>
      <c r="R265" s="6">
        <f ca="1">YEARFRAC(Table1[[#This Row],[Hire_Date]],IF(Table1[[#This Row],[Employment_Status]]="Exited",Table1[[#This Row],[Exit_Date]],TODAY()))</f>
        <v>6.5361111111111114</v>
      </c>
      <c r="S265" t="str" cm="1">
        <f t="array" aca="1" ref="S265" ca="1">_xlfn.IFS(AND(Table1[[#This Row],[Tenure]]&gt;=0,Table1[[#This Row],[Tenure]]&lt;=1),"0-1",AND(Table1[[#This Row],[Tenure]]&gt;1,Table1[[#This Row],[Tenure]]&lt;=3),"1-3",AND(Table1[[#This Row],[Tenure]]&gt;3,Table1[[#This Row],[Tenure]]&lt;=5),"3-5",AND(Table1[[#This Row],[Tenure]]&gt;5,Table1[[#This Row],[Tenure]]&lt;=8),"5-8")</f>
        <v>5-8</v>
      </c>
      <c r="T265" t="str" cm="1">
        <f t="array" ref="T265">_xlfn.IFS(AND(Table1[[#This Row],[Salary]]&gt;=180000, Table1[[#This Row],[Salary]] &lt;=500000),"Low (180k-500k)", AND(Table1[[#This Row],[Salary]]&gt;500000, Table1[[#This Row],[Salary]]&lt;=800000), "Medium (501k-800k)", AND(Table1[[#This Row],[Salary]]&gt;800000, Table1[[#This Row],[Salary]]&lt;1200000), "High (801k - 1.2m)")</f>
        <v>Low (180k-500k)</v>
      </c>
    </row>
    <row r="266" spans="1:20" x14ac:dyDescent="0.2">
      <c r="A266">
        <v>265</v>
      </c>
      <c r="B266" t="s">
        <v>33</v>
      </c>
      <c r="C266" t="s">
        <v>14</v>
      </c>
      <c r="D266">
        <v>53</v>
      </c>
      <c r="E266" t="s">
        <v>21</v>
      </c>
      <c r="F266" t="s">
        <v>22</v>
      </c>
      <c r="G266">
        <v>547871</v>
      </c>
      <c r="H266" t="s">
        <v>323</v>
      </c>
      <c r="J266" t="s">
        <v>18</v>
      </c>
      <c r="K266">
        <v>4</v>
      </c>
      <c r="L266">
        <v>18</v>
      </c>
      <c r="M266">
        <v>72</v>
      </c>
      <c r="N266">
        <f>IF(Table1[[#This Row],[Employment_Status]]="Exited",1,0)</f>
        <v>0</v>
      </c>
      <c r="O266" t="str" cm="1">
        <f t="array" ref="O266">_xlfn.IFS(AND(Table1[[#This Row],[Age]]&gt;=22,Table1[[#This Row],[Age]]&lt;=35),"22-35",AND(Table1[[#This Row],[Age]]&gt;=36,Table1[[#This Row],[Age]]&lt;=45),"36-45",AND(Table1[[#This Row],[Age]]&gt;=46,Table1[[#This Row],[Age]]&lt;=55),"46-55")</f>
        <v>46-55</v>
      </c>
      <c r="P266">
        <f>IF(Table1[[#This Row],[Employment_Status]]="active",1,0)</f>
        <v>1</v>
      </c>
      <c r="Q266">
        <v>1</v>
      </c>
      <c r="R266" s="6">
        <f ca="1">YEARFRAC(Table1[[#This Row],[Hire_Date]],IF(Table1[[#This Row],[Employment_Status]]="Exited",Table1[[#This Row],[Exit_Date]],TODAY()))</f>
        <v>2.375</v>
      </c>
      <c r="S266" t="str" cm="1">
        <f t="array" aca="1" ref="S266" ca="1">_xlfn.IFS(AND(Table1[[#This Row],[Tenure]]&gt;=0,Table1[[#This Row],[Tenure]]&lt;=1),"0-1",AND(Table1[[#This Row],[Tenure]]&gt;1,Table1[[#This Row],[Tenure]]&lt;=3),"1-3",AND(Table1[[#This Row],[Tenure]]&gt;3,Table1[[#This Row],[Tenure]]&lt;=5),"3-5",AND(Table1[[#This Row],[Tenure]]&gt;5,Table1[[#This Row],[Tenure]]&lt;=8),"5-8")</f>
        <v>1-3</v>
      </c>
      <c r="T266" t="str" cm="1">
        <f t="array" ref="T266">_xlfn.IFS(AND(Table1[[#This Row],[Salary]]&gt;=180000, Table1[[#This Row],[Salary]] &lt;=500000),"Low (180k-500k)", AND(Table1[[#This Row],[Salary]]&gt;500000, Table1[[#This Row],[Salary]]&lt;=800000), "Medium (501k-800k)", AND(Table1[[#This Row],[Salary]]&gt;800000, Table1[[#This Row],[Salary]]&lt;1200000), "High (801k - 1.2m)")</f>
        <v>Medium (501k-800k)</v>
      </c>
    </row>
    <row r="267" spans="1:20" x14ac:dyDescent="0.2">
      <c r="A267">
        <v>266</v>
      </c>
      <c r="B267" t="s">
        <v>75</v>
      </c>
      <c r="C267" t="s">
        <v>14</v>
      </c>
      <c r="D267">
        <v>32</v>
      </c>
      <c r="E267" t="s">
        <v>49</v>
      </c>
      <c r="F267" t="s">
        <v>27</v>
      </c>
      <c r="G267">
        <v>357023</v>
      </c>
      <c r="H267" t="s">
        <v>324</v>
      </c>
      <c r="J267" t="s">
        <v>18</v>
      </c>
      <c r="K267">
        <v>4</v>
      </c>
      <c r="L267">
        <v>41</v>
      </c>
      <c r="M267">
        <v>74</v>
      </c>
      <c r="N267">
        <f>IF(Table1[[#This Row],[Employment_Status]]="Exited",1,0)</f>
        <v>0</v>
      </c>
      <c r="O267" t="str" cm="1">
        <f t="array" ref="O267">_xlfn.IFS(AND(Table1[[#This Row],[Age]]&gt;=22,Table1[[#This Row],[Age]]&lt;=35),"22-35",AND(Table1[[#This Row],[Age]]&gt;=36,Table1[[#This Row],[Age]]&lt;=45),"36-45",AND(Table1[[#This Row],[Age]]&gt;=46,Table1[[#This Row],[Age]]&lt;=55),"46-55")</f>
        <v>22-35</v>
      </c>
      <c r="P267">
        <f>IF(Table1[[#This Row],[Employment_Status]]="active",1,0)</f>
        <v>1</v>
      </c>
      <c r="Q267">
        <v>1</v>
      </c>
      <c r="R267" s="6">
        <f ca="1">YEARFRAC(Table1[[#This Row],[Hire_Date]],IF(Table1[[#This Row],[Employment_Status]]="Exited",Table1[[#This Row],[Exit_Date]],TODAY()))</f>
        <v>3.4138888888888888</v>
      </c>
      <c r="S267" t="str" cm="1">
        <f t="array" aca="1" ref="S267" ca="1">_xlfn.IFS(AND(Table1[[#This Row],[Tenure]]&gt;=0,Table1[[#This Row],[Tenure]]&lt;=1),"0-1",AND(Table1[[#This Row],[Tenure]]&gt;1,Table1[[#This Row],[Tenure]]&lt;=3),"1-3",AND(Table1[[#This Row],[Tenure]]&gt;3,Table1[[#This Row],[Tenure]]&lt;=5),"3-5",AND(Table1[[#This Row],[Tenure]]&gt;5,Table1[[#This Row],[Tenure]]&lt;=8),"5-8")</f>
        <v>3-5</v>
      </c>
      <c r="T267" t="str" cm="1">
        <f t="array" ref="T267">_xlfn.IFS(AND(Table1[[#This Row],[Salary]]&gt;=180000, Table1[[#This Row],[Salary]] &lt;=500000),"Low (180k-500k)", AND(Table1[[#This Row],[Salary]]&gt;500000, Table1[[#This Row],[Salary]]&lt;=800000), "Medium (501k-800k)", AND(Table1[[#This Row],[Salary]]&gt;800000, Table1[[#This Row],[Salary]]&lt;1200000), "High (801k - 1.2m)")</f>
        <v>Low (180k-500k)</v>
      </c>
    </row>
    <row r="268" spans="1:20" x14ac:dyDescent="0.2">
      <c r="A268">
        <v>267</v>
      </c>
      <c r="B268" t="s">
        <v>58</v>
      </c>
      <c r="C268" t="s">
        <v>20</v>
      </c>
      <c r="D268">
        <v>29</v>
      </c>
      <c r="E268" t="s">
        <v>15</v>
      </c>
      <c r="F268" t="s">
        <v>27</v>
      </c>
      <c r="G268">
        <v>953137</v>
      </c>
      <c r="H268" t="s">
        <v>69</v>
      </c>
      <c r="I268" t="s">
        <v>325</v>
      </c>
      <c r="J268" t="s">
        <v>55</v>
      </c>
      <c r="K268">
        <v>1</v>
      </c>
      <c r="L268">
        <v>29</v>
      </c>
      <c r="M268">
        <v>79</v>
      </c>
      <c r="N268">
        <f>IF(Table1[[#This Row],[Employment_Status]]="Exited",1,0)</f>
        <v>1</v>
      </c>
      <c r="O268" t="str" cm="1">
        <f t="array" ref="O268">_xlfn.IFS(AND(Table1[[#This Row],[Age]]&gt;=22,Table1[[#This Row],[Age]]&lt;=35),"22-35",AND(Table1[[#This Row],[Age]]&gt;=36,Table1[[#This Row],[Age]]&lt;=45),"36-45",AND(Table1[[#This Row],[Age]]&gt;=46,Table1[[#This Row],[Age]]&lt;=55),"46-55")</f>
        <v>22-35</v>
      </c>
      <c r="P268">
        <f>IF(Table1[[#This Row],[Employment_Status]]="active",1,0)</f>
        <v>0</v>
      </c>
      <c r="Q268">
        <v>1</v>
      </c>
      <c r="R268" s="6">
        <f ca="1">YEARFRAC(Table1[[#This Row],[Hire_Date]],IF(Table1[[#This Row],[Employment_Status]]="Exited",Table1[[#This Row],[Exit_Date]],TODAY()))</f>
        <v>0.69444444444444442</v>
      </c>
      <c r="S268" t="str" cm="1">
        <f t="array" aca="1" ref="S268" ca="1">_xlfn.IFS(AND(Table1[[#This Row],[Tenure]]&gt;=0,Table1[[#This Row],[Tenure]]&lt;=1),"0-1",AND(Table1[[#This Row],[Tenure]]&gt;1,Table1[[#This Row],[Tenure]]&lt;=3),"1-3",AND(Table1[[#This Row],[Tenure]]&gt;3,Table1[[#This Row],[Tenure]]&lt;=5),"3-5",AND(Table1[[#This Row],[Tenure]]&gt;5,Table1[[#This Row],[Tenure]]&lt;=8),"5-8")</f>
        <v>0-1</v>
      </c>
      <c r="T268" t="str" cm="1">
        <f t="array" ref="T268">_xlfn.IFS(AND(Table1[[#This Row],[Salary]]&gt;=180000, Table1[[#This Row],[Salary]] &lt;=500000),"Low (180k-500k)", AND(Table1[[#This Row],[Salary]]&gt;500000, Table1[[#This Row],[Salary]]&lt;=800000), "Medium (501k-800k)", AND(Table1[[#This Row],[Salary]]&gt;800000, Table1[[#This Row],[Salary]]&lt;1200000), "High (801k - 1.2m)")</f>
        <v>High (801k - 1.2m)</v>
      </c>
    </row>
    <row r="269" spans="1:20" x14ac:dyDescent="0.2">
      <c r="A269">
        <v>268</v>
      </c>
      <c r="B269" t="s">
        <v>24</v>
      </c>
      <c r="C269" t="s">
        <v>14</v>
      </c>
      <c r="D269">
        <v>41</v>
      </c>
      <c r="E269" t="s">
        <v>15</v>
      </c>
      <c r="F269" t="s">
        <v>34</v>
      </c>
      <c r="G269">
        <v>1152794</v>
      </c>
      <c r="H269" t="s">
        <v>326</v>
      </c>
      <c r="J269" t="s">
        <v>18</v>
      </c>
      <c r="K269">
        <v>3</v>
      </c>
      <c r="L269">
        <v>23</v>
      </c>
      <c r="M269">
        <v>68</v>
      </c>
      <c r="N269">
        <f>IF(Table1[[#This Row],[Employment_Status]]="Exited",1,0)</f>
        <v>0</v>
      </c>
      <c r="O269" t="str" cm="1">
        <f t="array" ref="O269">_xlfn.IFS(AND(Table1[[#This Row],[Age]]&gt;=22,Table1[[#This Row],[Age]]&lt;=35),"22-35",AND(Table1[[#This Row],[Age]]&gt;=36,Table1[[#This Row],[Age]]&lt;=45),"36-45",AND(Table1[[#This Row],[Age]]&gt;=46,Table1[[#This Row],[Age]]&lt;=55),"46-55")</f>
        <v>36-45</v>
      </c>
      <c r="P269">
        <f>IF(Table1[[#This Row],[Employment_Status]]="active",1,0)</f>
        <v>1</v>
      </c>
      <c r="Q269">
        <v>1</v>
      </c>
      <c r="R269" s="6">
        <f ca="1">YEARFRAC(Table1[[#This Row],[Hire_Date]],IF(Table1[[#This Row],[Employment_Status]]="Exited",Table1[[#This Row],[Exit_Date]],TODAY()))</f>
        <v>6.8277777777777775</v>
      </c>
      <c r="S269" t="str" cm="1">
        <f t="array" aca="1" ref="S269" ca="1">_xlfn.IFS(AND(Table1[[#This Row],[Tenure]]&gt;=0,Table1[[#This Row],[Tenure]]&lt;=1),"0-1",AND(Table1[[#This Row],[Tenure]]&gt;1,Table1[[#This Row],[Tenure]]&lt;=3),"1-3",AND(Table1[[#This Row],[Tenure]]&gt;3,Table1[[#This Row],[Tenure]]&lt;=5),"3-5",AND(Table1[[#This Row],[Tenure]]&gt;5,Table1[[#This Row],[Tenure]]&lt;=8),"5-8")</f>
        <v>5-8</v>
      </c>
      <c r="T269" t="str" cm="1">
        <f t="array" ref="T269">_xlfn.IFS(AND(Table1[[#This Row],[Salary]]&gt;=180000, Table1[[#This Row],[Salary]] &lt;=500000),"Low (180k-500k)", AND(Table1[[#This Row],[Salary]]&gt;500000, Table1[[#This Row],[Salary]]&lt;=800000), "Medium (501k-800k)", AND(Table1[[#This Row],[Salary]]&gt;800000, Table1[[#This Row],[Salary]]&lt;1200000), "High (801k - 1.2m)")</f>
        <v>High (801k - 1.2m)</v>
      </c>
    </row>
    <row r="270" spans="1:20" x14ac:dyDescent="0.2">
      <c r="A270">
        <v>269</v>
      </c>
      <c r="B270" t="s">
        <v>58</v>
      </c>
      <c r="C270" t="s">
        <v>20</v>
      </c>
      <c r="D270">
        <v>33</v>
      </c>
      <c r="E270" t="s">
        <v>15</v>
      </c>
      <c r="F270" t="s">
        <v>34</v>
      </c>
      <c r="G270">
        <v>1004440</v>
      </c>
      <c r="H270" t="s">
        <v>327</v>
      </c>
      <c r="J270" t="s">
        <v>18</v>
      </c>
      <c r="K270">
        <v>4</v>
      </c>
      <c r="L270">
        <v>15</v>
      </c>
      <c r="M270">
        <v>82</v>
      </c>
      <c r="N270">
        <f>IF(Table1[[#This Row],[Employment_Status]]="Exited",1,0)</f>
        <v>0</v>
      </c>
      <c r="O270" t="str" cm="1">
        <f t="array" ref="O270">_xlfn.IFS(AND(Table1[[#This Row],[Age]]&gt;=22,Table1[[#This Row],[Age]]&lt;=35),"22-35",AND(Table1[[#This Row],[Age]]&gt;=36,Table1[[#This Row],[Age]]&lt;=45),"36-45",AND(Table1[[#This Row],[Age]]&gt;=46,Table1[[#This Row],[Age]]&lt;=55),"46-55")</f>
        <v>22-35</v>
      </c>
      <c r="P270">
        <f>IF(Table1[[#This Row],[Employment_Status]]="active",1,0)</f>
        <v>1</v>
      </c>
      <c r="Q270">
        <v>1</v>
      </c>
      <c r="R270" s="6">
        <f ca="1">YEARFRAC(Table1[[#This Row],[Hire_Date]],IF(Table1[[#This Row],[Employment_Status]]="Exited",Table1[[#This Row],[Exit_Date]],TODAY()))</f>
        <v>2.0805555555555557</v>
      </c>
      <c r="S270" t="str" cm="1">
        <f t="array" aca="1" ref="S270" ca="1">_xlfn.IFS(AND(Table1[[#This Row],[Tenure]]&gt;=0,Table1[[#This Row],[Tenure]]&lt;=1),"0-1",AND(Table1[[#This Row],[Tenure]]&gt;1,Table1[[#This Row],[Tenure]]&lt;=3),"1-3",AND(Table1[[#This Row],[Tenure]]&gt;3,Table1[[#This Row],[Tenure]]&lt;=5),"3-5",AND(Table1[[#This Row],[Tenure]]&gt;5,Table1[[#This Row],[Tenure]]&lt;=8),"5-8")</f>
        <v>1-3</v>
      </c>
      <c r="T270" t="str" cm="1">
        <f t="array" ref="T270">_xlfn.IFS(AND(Table1[[#This Row],[Salary]]&gt;=180000, Table1[[#This Row],[Salary]] &lt;=500000),"Low (180k-500k)", AND(Table1[[#This Row],[Salary]]&gt;500000, Table1[[#This Row],[Salary]]&lt;=800000), "Medium (501k-800k)", AND(Table1[[#This Row],[Salary]]&gt;800000, Table1[[#This Row],[Salary]]&lt;1200000), "High (801k - 1.2m)")</f>
        <v>High (801k - 1.2m)</v>
      </c>
    </row>
    <row r="271" spans="1:20" x14ac:dyDescent="0.2">
      <c r="A271">
        <v>270</v>
      </c>
      <c r="B271" t="s">
        <v>36</v>
      </c>
      <c r="C271" t="s">
        <v>20</v>
      </c>
      <c r="D271">
        <v>35</v>
      </c>
      <c r="E271" t="s">
        <v>15</v>
      </c>
      <c r="F271" t="s">
        <v>27</v>
      </c>
      <c r="G271">
        <v>997112</v>
      </c>
      <c r="H271" t="s">
        <v>328</v>
      </c>
      <c r="J271" t="s">
        <v>18</v>
      </c>
      <c r="K271">
        <v>3</v>
      </c>
      <c r="L271">
        <v>4</v>
      </c>
      <c r="M271">
        <v>83</v>
      </c>
      <c r="N271">
        <f>IF(Table1[[#This Row],[Employment_Status]]="Exited",1,0)</f>
        <v>0</v>
      </c>
      <c r="O271" t="str" cm="1">
        <f t="array" ref="O271">_xlfn.IFS(AND(Table1[[#This Row],[Age]]&gt;=22,Table1[[#This Row],[Age]]&lt;=35),"22-35",AND(Table1[[#This Row],[Age]]&gt;=36,Table1[[#This Row],[Age]]&lt;=45),"36-45",AND(Table1[[#This Row],[Age]]&gt;=46,Table1[[#This Row],[Age]]&lt;=55),"46-55")</f>
        <v>22-35</v>
      </c>
      <c r="P271">
        <f>IF(Table1[[#This Row],[Employment_Status]]="active",1,0)</f>
        <v>1</v>
      </c>
      <c r="Q271">
        <v>1</v>
      </c>
      <c r="R271" s="6">
        <f ca="1">YEARFRAC(Table1[[#This Row],[Hire_Date]],IF(Table1[[#This Row],[Employment_Status]]="Exited",Table1[[#This Row],[Exit_Date]],TODAY()))</f>
        <v>5.3611111111111107</v>
      </c>
      <c r="S271" t="str" cm="1">
        <f t="array" aca="1" ref="S271" ca="1">_xlfn.IFS(AND(Table1[[#This Row],[Tenure]]&gt;=0,Table1[[#This Row],[Tenure]]&lt;=1),"0-1",AND(Table1[[#This Row],[Tenure]]&gt;1,Table1[[#This Row],[Tenure]]&lt;=3),"1-3",AND(Table1[[#This Row],[Tenure]]&gt;3,Table1[[#This Row],[Tenure]]&lt;=5),"3-5",AND(Table1[[#This Row],[Tenure]]&gt;5,Table1[[#This Row],[Tenure]]&lt;=8),"5-8")</f>
        <v>5-8</v>
      </c>
      <c r="T271" t="str" cm="1">
        <f t="array" ref="T271">_xlfn.IFS(AND(Table1[[#This Row],[Salary]]&gt;=180000, Table1[[#This Row],[Salary]] &lt;=500000),"Low (180k-500k)", AND(Table1[[#This Row],[Salary]]&gt;500000, Table1[[#This Row],[Salary]]&lt;=800000), "Medium (501k-800k)", AND(Table1[[#This Row],[Salary]]&gt;800000, Table1[[#This Row],[Salary]]&lt;1200000), "High (801k - 1.2m)")</f>
        <v>High (801k - 1.2m)</v>
      </c>
    </row>
    <row r="272" spans="1:20" x14ac:dyDescent="0.2">
      <c r="A272">
        <v>271</v>
      </c>
      <c r="B272" t="s">
        <v>29</v>
      </c>
      <c r="C272" t="s">
        <v>20</v>
      </c>
      <c r="D272">
        <v>38</v>
      </c>
      <c r="E272" t="s">
        <v>15</v>
      </c>
      <c r="F272" t="s">
        <v>27</v>
      </c>
      <c r="G272">
        <v>1132320</v>
      </c>
      <c r="H272" t="s">
        <v>329</v>
      </c>
      <c r="I272" t="s">
        <v>330</v>
      </c>
      <c r="J272" t="s">
        <v>55</v>
      </c>
      <c r="K272">
        <v>2</v>
      </c>
      <c r="L272">
        <v>12</v>
      </c>
      <c r="M272">
        <v>98</v>
      </c>
      <c r="N272">
        <f>IF(Table1[[#This Row],[Employment_Status]]="Exited",1,0)</f>
        <v>1</v>
      </c>
      <c r="O272" t="str" cm="1">
        <f t="array" ref="O272">_xlfn.IFS(AND(Table1[[#This Row],[Age]]&gt;=22,Table1[[#This Row],[Age]]&lt;=35),"22-35",AND(Table1[[#This Row],[Age]]&gt;=36,Table1[[#This Row],[Age]]&lt;=45),"36-45",AND(Table1[[#This Row],[Age]]&gt;=46,Table1[[#This Row],[Age]]&lt;=55),"46-55")</f>
        <v>36-45</v>
      </c>
      <c r="P272">
        <f>IF(Table1[[#This Row],[Employment_Status]]="active",1,0)</f>
        <v>0</v>
      </c>
      <c r="Q272">
        <v>1</v>
      </c>
      <c r="R272" s="6">
        <f ca="1">YEARFRAC(Table1[[#This Row],[Hire_Date]],IF(Table1[[#This Row],[Employment_Status]]="Exited",Table1[[#This Row],[Exit_Date]],TODAY()))</f>
        <v>2.8777777777777778</v>
      </c>
      <c r="S272" t="str" cm="1">
        <f t="array" aca="1" ref="S272" ca="1">_xlfn.IFS(AND(Table1[[#This Row],[Tenure]]&gt;=0,Table1[[#This Row],[Tenure]]&lt;=1),"0-1",AND(Table1[[#This Row],[Tenure]]&gt;1,Table1[[#This Row],[Tenure]]&lt;=3),"1-3",AND(Table1[[#This Row],[Tenure]]&gt;3,Table1[[#This Row],[Tenure]]&lt;=5),"3-5",AND(Table1[[#This Row],[Tenure]]&gt;5,Table1[[#This Row],[Tenure]]&lt;=8),"5-8")</f>
        <v>1-3</v>
      </c>
      <c r="T272" t="str" cm="1">
        <f t="array" ref="T272">_xlfn.IFS(AND(Table1[[#This Row],[Salary]]&gt;=180000, Table1[[#This Row],[Salary]] &lt;=500000),"Low (180k-500k)", AND(Table1[[#This Row],[Salary]]&gt;500000, Table1[[#This Row],[Salary]]&lt;=800000), "Medium (501k-800k)", AND(Table1[[#This Row],[Salary]]&gt;800000, Table1[[#This Row],[Salary]]&lt;1200000), "High (801k - 1.2m)")</f>
        <v>High (801k - 1.2m)</v>
      </c>
    </row>
    <row r="273" spans="1:20" x14ac:dyDescent="0.2">
      <c r="A273">
        <v>272</v>
      </c>
      <c r="B273" t="s">
        <v>31</v>
      </c>
      <c r="C273" t="s">
        <v>14</v>
      </c>
      <c r="D273">
        <v>25</v>
      </c>
      <c r="E273" t="s">
        <v>21</v>
      </c>
      <c r="F273" t="s">
        <v>22</v>
      </c>
      <c r="G273">
        <v>608754</v>
      </c>
      <c r="H273" t="s">
        <v>331</v>
      </c>
      <c r="J273" t="s">
        <v>18</v>
      </c>
      <c r="K273">
        <v>4</v>
      </c>
      <c r="L273">
        <v>50</v>
      </c>
      <c r="M273">
        <v>98</v>
      </c>
      <c r="N273">
        <f>IF(Table1[[#This Row],[Employment_Status]]="Exited",1,0)</f>
        <v>0</v>
      </c>
      <c r="O273" t="str" cm="1">
        <f t="array" ref="O273">_xlfn.IFS(AND(Table1[[#This Row],[Age]]&gt;=22,Table1[[#This Row],[Age]]&lt;=35),"22-35",AND(Table1[[#This Row],[Age]]&gt;=36,Table1[[#This Row],[Age]]&lt;=45),"36-45",AND(Table1[[#This Row],[Age]]&gt;=46,Table1[[#This Row],[Age]]&lt;=55),"46-55")</f>
        <v>22-35</v>
      </c>
      <c r="P273">
        <f>IF(Table1[[#This Row],[Employment_Status]]="active",1,0)</f>
        <v>1</v>
      </c>
      <c r="Q273">
        <v>1</v>
      </c>
      <c r="R273" s="6">
        <f ca="1">YEARFRAC(Table1[[#This Row],[Hire_Date]],IF(Table1[[#This Row],[Employment_Status]]="Exited",Table1[[#This Row],[Exit_Date]],TODAY()))</f>
        <v>5.072222222222222</v>
      </c>
      <c r="S273" t="str" cm="1">
        <f t="array" aca="1" ref="S273" ca="1">_xlfn.IFS(AND(Table1[[#This Row],[Tenure]]&gt;=0,Table1[[#This Row],[Tenure]]&lt;=1),"0-1",AND(Table1[[#This Row],[Tenure]]&gt;1,Table1[[#This Row],[Tenure]]&lt;=3),"1-3",AND(Table1[[#This Row],[Tenure]]&gt;3,Table1[[#This Row],[Tenure]]&lt;=5),"3-5",AND(Table1[[#This Row],[Tenure]]&gt;5,Table1[[#This Row],[Tenure]]&lt;=8),"5-8")</f>
        <v>5-8</v>
      </c>
      <c r="T273" t="str" cm="1">
        <f t="array" ref="T273">_xlfn.IFS(AND(Table1[[#This Row],[Salary]]&gt;=180000, Table1[[#This Row],[Salary]] &lt;=500000),"Low (180k-500k)", AND(Table1[[#This Row],[Salary]]&gt;500000, Table1[[#This Row],[Salary]]&lt;=800000), "Medium (501k-800k)", AND(Table1[[#This Row],[Salary]]&gt;800000, Table1[[#This Row],[Salary]]&lt;1200000), "High (801k - 1.2m)")</f>
        <v>Medium (501k-800k)</v>
      </c>
    </row>
    <row r="274" spans="1:20" x14ac:dyDescent="0.2">
      <c r="A274">
        <v>273</v>
      </c>
      <c r="B274" t="s">
        <v>13</v>
      </c>
      <c r="C274" t="s">
        <v>20</v>
      </c>
      <c r="D274">
        <v>33</v>
      </c>
      <c r="E274" t="s">
        <v>15</v>
      </c>
      <c r="F274" t="s">
        <v>16</v>
      </c>
      <c r="G274">
        <v>1008376</v>
      </c>
      <c r="H274" t="s">
        <v>332</v>
      </c>
      <c r="I274" t="s">
        <v>333</v>
      </c>
      <c r="J274" t="s">
        <v>55</v>
      </c>
      <c r="K274">
        <v>4</v>
      </c>
      <c r="L274">
        <v>18</v>
      </c>
      <c r="M274">
        <v>97</v>
      </c>
      <c r="N274">
        <f>IF(Table1[[#This Row],[Employment_Status]]="Exited",1,0)</f>
        <v>1</v>
      </c>
      <c r="O274" t="str" cm="1">
        <f t="array" ref="O274">_xlfn.IFS(AND(Table1[[#This Row],[Age]]&gt;=22,Table1[[#This Row],[Age]]&lt;=35),"22-35",AND(Table1[[#This Row],[Age]]&gt;=36,Table1[[#This Row],[Age]]&lt;=45),"36-45",AND(Table1[[#This Row],[Age]]&gt;=46,Table1[[#This Row],[Age]]&lt;=55),"46-55")</f>
        <v>22-35</v>
      </c>
      <c r="P274">
        <f>IF(Table1[[#This Row],[Employment_Status]]="active",1,0)</f>
        <v>0</v>
      </c>
      <c r="Q274">
        <v>1</v>
      </c>
      <c r="R274" s="6">
        <f ca="1">YEARFRAC(Table1[[#This Row],[Hire_Date]],IF(Table1[[#This Row],[Employment_Status]]="Exited",Table1[[#This Row],[Exit_Date]],TODAY()))</f>
        <v>1.5055555555555555</v>
      </c>
      <c r="S274" t="str" cm="1">
        <f t="array" aca="1" ref="S274" ca="1">_xlfn.IFS(AND(Table1[[#This Row],[Tenure]]&gt;=0,Table1[[#This Row],[Tenure]]&lt;=1),"0-1",AND(Table1[[#This Row],[Tenure]]&gt;1,Table1[[#This Row],[Tenure]]&lt;=3),"1-3",AND(Table1[[#This Row],[Tenure]]&gt;3,Table1[[#This Row],[Tenure]]&lt;=5),"3-5",AND(Table1[[#This Row],[Tenure]]&gt;5,Table1[[#This Row],[Tenure]]&lt;=8),"5-8")</f>
        <v>1-3</v>
      </c>
      <c r="T274" t="str" cm="1">
        <f t="array" ref="T274">_xlfn.IFS(AND(Table1[[#This Row],[Salary]]&gt;=180000, Table1[[#This Row],[Salary]] &lt;=500000),"Low (180k-500k)", AND(Table1[[#This Row],[Salary]]&gt;500000, Table1[[#This Row],[Salary]]&lt;=800000), "Medium (501k-800k)", AND(Table1[[#This Row],[Salary]]&gt;800000, Table1[[#This Row],[Salary]]&lt;1200000), "High (801k - 1.2m)")</f>
        <v>High (801k - 1.2m)</v>
      </c>
    </row>
    <row r="275" spans="1:20" x14ac:dyDescent="0.2">
      <c r="A275">
        <v>274</v>
      </c>
      <c r="B275" t="s">
        <v>13</v>
      </c>
      <c r="C275" t="s">
        <v>14</v>
      </c>
      <c r="D275">
        <v>33</v>
      </c>
      <c r="E275" t="s">
        <v>15</v>
      </c>
      <c r="F275" t="s">
        <v>22</v>
      </c>
      <c r="G275">
        <v>422917</v>
      </c>
      <c r="H275" t="s">
        <v>334</v>
      </c>
      <c r="J275" t="s">
        <v>18</v>
      </c>
      <c r="K275">
        <v>3</v>
      </c>
      <c r="L275">
        <v>34</v>
      </c>
      <c r="M275">
        <v>100</v>
      </c>
      <c r="N275">
        <f>IF(Table1[[#This Row],[Employment_Status]]="Exited",1,0)</f>
        <v>0</v>
      </c>
      <c r="O275" t="str" cm="1">
        <f t="array" ref="O275">_xlfn.IFS(AND(Table1[[#This Row],[Age]]&gt;=22,Table1[[#This Row],[Age]]&lt;=35),"22-35",AND(Table1[[#This Row],[Age]]&gt;=36,Table1[[#This Row],[Age]]&lt;=45),"36-45",AND(Table1[[#This Row],[Age]]&gt;=46,Table1[[#This Row],[Age]]&lt;=55),"46-55")</f>
        <v>22-35</v>
      </c>
      <c r="P275">
        <f>IF(Table1[[#This Row],[Employment_Status]]="active",1,0)</f>
        <v>1</v>
      </c>
      <c r="Q275">
        <v>1</v>
      </c>
      <c r="R275" s="6">
        <f ca="1">YEARFRAC(Table1[[#This Row],[Hire_Date]],IF(Table1[[#This Row],[Employment_Status]]="Exited",Table1[[#This Row],[Exit_Date]],TODAY()))</f>
        <v>6.6333333333333337</v>
      </c>
      <c r="S275" t="str" cm="1">
        <f t="array" aca="1" ref="S275" ca="1">_xlfn.IFS(AND(Table1[[#This Row],[Tenure]]&gt;=0,Table1[[#This Row],[Tenure]]&lt;=1),"0-1",AND(Table1[[#This Row],[Tenure]]&gt;1,Table1[[#This Row],[Tenure]]&lt;=3),"1-3",AND(Table1[[#This Row],[Tenure]]&gt;3,Table1[[#This Row],[Tenure]]&lt;=5),"3-5",AND(Table1[[#This Row],[Tenure]]&gt;5,Table1[[#This Row],[Tenure]]&lt;=8),"5-8")</f>
        <v>5-8</v>
      </c>
      <c r="T275" t="str" cm="1">
        <f t="array" ref="T275">_xlfn.IFS(AND(Table1[[#This Row],[Salary]]&gt;=180000, Table1[[#This Row],[Salary]] &lt;=500000),"Low (180k-500k)", AND(Table1[[#This Row],[Salary]]&gt;500000, Table1[[#This Row],[Salary]]&lt;=800000), "Medium (501k-800k)", AND(Table1[[#This Row],[Salary]]&gt;800000, Table1[[#This Row],[Salary]]&lt;1200000), "High (801k - 1.2m)")</f>
        <v>Low (180k-500k)</v>
      </c>
    </row>
    <row r="276" spans="1:20" x14ac:dyDescent="0.2">
      <c r="A276">
        <v>275</v>
      </c>
      <c r="B276" t="s">
        <v>29</v>
      </c>
      <c r="C276" t="s">
        <v>20</v>
      </c>
      <c r="D276">
        <v>22</v>
      </c>
      <c r="E276" t="s">
        <v>21</v>
      </c>
      <c r="F276" t="s">
        <v>22</v>
      </c>
      <c r="G276">
        <v>272148</v>
      </c>
      <c r="H276" t="s">
        <v>335</v>
      </c>
      <c r="J276" t="s">
        <v>18</v>
      </c>
      <c r="K276">
        <v>2</v>
      </c>
      <c r="L276">
        <v>0</v>
      </c>
      <c r="M276">
        <v>71</v>
      </c>
      <c r="N276">
        <f>IF(Table1[[#This Row],[Employment_Status]]="Exited",1,0)</f>
        <v>0</v>
      </c>
      <c r="O276" t="str" cm="1">
        <f t="array" ref="O276">_xlfn.IFS(AND(Table1[[#This Row],[Age]]&gt;=22,Table1[[#This Row],[Age]]&lt;=35),"22-35",AND(Table1[[#This Row],[Age]]&gt;=36,Table1[[#This Row],[Age]]&lt;=45),"36-45",AND(Table1[[#This Row],[Age]]&gt;=46,Table1[[#This Row],[Age]]&lt;=55),"46-55")</f>
        <v>22-35</v>
      </c>
      <c r="P276">
        <f>IF(Table1[[#This Row],[Employment_Status]]="active",1,0)</f>
        <v>1</v>
      </c>
      <c r="Q276">
        <v>1</v>
      </c>
      <c r="R276" s="6">
        <f ca="1">YEARFRAC(Table1[[#This Row],[Hire_Date]],IF(Table1[[#This Row],[Employment_Status]]="Exited",Table1[[#This Row],[Exit_Date]],TODAY()))</f>
        <v>6.5611111111111109</v>
      </c>
      <c r="S276" t="str" cm="1">
        <f t="array" aca="1" ref="S276" ca="1">_xlfn.IFS(AND(Table1[[#This Row],[Tenure]]&gt;=0,Table1[[#This Row],[Tenure]]&lt;=1),"0-1",AND(Table1[[#This Row],[Tenure]]&gt;1,Table1[[#This Row],[Tenure]]&lt;=3),"1-3",AND(Table1[[#This Row],[Tenure]]&gt;3,Table1[[#This Row],[Tenure]]&lt;=5),"3-5",AND(Table1[[#This Row],[Tenure]]&gt;5,Table1[[#This Row],[Tenure]]&lt;=8),"5-8")</f>
        <v>5-8</v>
      </c>
      <c r="T276" t="str" cm="1">
        <f t="array" ref="T276">_xlfn.IFS(AND(Table1[[#This Row],[Salary]]&gt;=180000, Table1[[#This Row],[Salary]] &lt;=500000),"Low (180k-500k)", AND(Table1[[#This Row],[Salary]]&gt;500000, Table1[[#This Row],[Salary]]&lt;=800000), "Medium (501k-800k)", AND(Table1[[#This Row],[Salary]]&gt;800000, Table1[[#This Row],[Salary]]&lt;1200000), "High (801k - 1.2m)")</f>
        <v>Low (180k-500k)</v>
      </c>
    </row>
    <row r="277" spans="1:20" x14ac:dyDescent="0.2">
      <c r="A277">
        <v>276</v>
      </c>
      <c r="B277" t="s">
        <v>19</v>
      </c>
      <c r="C277" t="s">
        <v>14</v>
      </c>
      <c r="D277">
        <v>27</v>
      </c>
      <c r="E277" t="s">
        <v>15</v>
      </c>
      <c r="F277" t="s">
        <v>27</v>
      </c>
      <c r="G277">
        <v>771123</v>
      </c>
      <c r="H277" t="s">
        <v>336</v>
      </c>
      <c r="J277" t="s">
        <v>18</v>
      </c>
      <c r="K277">
        <v>3</v>
      </c>
      <c r="L277">
        <v>45</v>
      </c>
      <c r="M277">
        <v>91</v>
      </c>
      <c r="N277">
        <f>IF(Table1[[#This Row],[Employment_Status]]="Exited",1,0)</f>
        <v>0</v>
      </c>
      <c r="O277" t="str" cm="1">
        <f t="array" ref="O277">_xlfn.IFS(AND(Table1[[#This Row],[Age]]&gt;=22,Table1[[#This Row],[Age]]&lt;=35),"22-35",AND(Table1[[#This Row],[Age]]&gt;=36,Table1[[#This Row],[Age]]&lt;=45),"36-45",AND(Table1[[#This Row],[Age]]&gt;=46,Table1[[#This Row],[Age]]&lt;=55),"46-55")</f>
        <v>22-35</v>
      </c>
      <c r="P277">
        <f>IF(Table1[[#This Row],[Employment_Status]]="active",1,0)</f>
        <v>1</v>
      </c>
      <c r="Q277">
        <v>1</v>
      </c>
      <c r="R277" s="6">
        <f ca="1">YEARFRAC(Table1[[#This Row],[Hire_Date]],IF(Table1[[#This Row],[Employment_Status]]="Exited",Table1[[#This Row],[Exit_Date]],TODAY()))</f>
        <v>4.0916666666666668</v>
      </c>
      <c r="S277" t="str" cm="1">
        <f t="array" aca="1" ref="S277" ca="1">_xlfn.IFS(AND(Table1[[#This Row],[Tenure]]&gt;=0,Table1[[#This Row],[Tenure]]&lt;=1),"0-1",AND(Table1[[#This Row],[Tenure]]&gt;1,Table1[[#This Row],[Tenure]]&lt;=3),"1-3",AND(Table1[[#This Row],[Tenure]]&gt;3,Table1[[#This Row],[Tenure]]&lt;=5),"3-5",AND(Table1[[#This Row],[Tenure]]&gt;5,Table1[[#This Row],[Tenure]]&lt;=8),"5-8")</f>
        <v>3-5</v>
      </c>
      <c r="T277" t="str" cm="1">
        <f t="array" ref="T277">_xlfn.IFS(AND(Table1[[#This Row],[Salary]]&gt;=180000, Table1[[#This Row],[Salary]] &lt;=500000),"Low (180k-500k)", AND(Table1[[#This Row],[Salary]]&gt;500000, Table1[[#This Row],[Salary]]&lt;=800000), "Medium (501k-800k)", AND(Table1[[#This Row],[Salary]]&gt;800000, Table1[[#This Row],[Salary]]&lt;1200000), "High (801k - 1.2m)")</f>
        <v>Medium (501k-800k)</v>
      </c>
    </row>
    <row r="278" spans="1:20" x14ac:dyDescent="0.2">
      <c r="A278">
        <v>277</v>
      </c>
      <c r="B278" t="s">
        <v>29</v>
      </c>
      <c r="C278" t="s">
        <v>20</v>
      </c>
      <c r="D278">
        <v>44</v>
      </c>
      <c r="E278" t="s">
        <v>61</v>
      </c>
      <c r="F278" t="s">
        <v>34</v>
      </c>
      <c r="G278">
        <v>233432</v>
      </c>
      <c r="H278" t="s">
        <v>337</v>
      </c>
      <c r="J278" t="s">
        <v>18</v>
      </c>
      <c r="K278">
        <v>4</v>
      </c>
      <c r="L278">
        <v>40</v>
      </c>
      <c r="M278">
        <v>83</v>
      </c>
      <c r="N278">
        <f>IF(Table1[[#This Row],[Employment_Status]]="Exited",1,0)</f>
        <v>0</v>
      </c>
      <c r="O278" t="str" cm="1">
        <f t="array" ref="O278">_xlfn.IFS(AND(Table1[[#This Row],[Age]]&gt;=22,Table1[[#This Row],[Age]]&lt;=35),"22-35",AND(Table1[[#This Row],[Age]]&gt;=36,Table1[[#This Row],[Age]]&lt;=45),"36-45",AND(Table1[[#This Row],[Age]]&gt;=46,Table1[[#This Row],[Age]]&lt;=55),"46-55")</f>
        <v>36-45</v>
      </c>
      <c r="P278">
        <f>IF(Table1[[#This Row],[Employment_Status]]="active",1,0)</f>
        <v>1</v>
      </c>
      <c r="Q278">
        <v>1</v>
      </c>
      <c r="R278" s="6">
        <f ca="1">YEARFRAC(Table1[[#This Row],[Hire_Date]],IF(Table1[[#This Row],[Employment_Status]]="Exited",Table1[[#This Row],[Exit_Date]],TODAY()))</f>
        <v>6.1083333333333334</v>
      </c>
      <c r="S278" t="str" cm="1">
        <f t="array" aca="1" ref="S278" ca="1">_xlfn.IFS(AND(Table1[[#This Row],[Tenure]]&gt;=0,Table1[[#This Row],[Tenure]]&lt;=1),"0-1",AND(Table1[[#This Row],[Tenure]]&gt;1,Table1[[#This Row],[Tenure]]&lt;=3),"1-3",AND(Table1[[#This Row],[Tenure]]&gt;3,Table1[[#This Row],[Tenure]]&lt;=5),"3-5",AND(Table1[[#This Row],[Tenure]]&gt;5,Table1[[#This Row],[Tenure]]&lt;=8),"5-8")</f>
        <v>5-8</v>
      </c>
      <c r="T278" t="str" cm="1">
        <f t="array" ref="T278">_xlfn.IFS(AND(Table1[[#This Row],[Salary]]&gt;=180000, Table1[[#This Row],[Salary]] &lt;=500000),"Low (180k-500k)", AND(Table1[[#This Row],[Salary]]&gt;500000, Table1[[#This Row],[Salary]]&lt;=800000), "Medium (501k-800k)", AND(Table1[[#This Row],[Salary]]&gt;800000, Table1[[#This Row],[Salary]]&lt;1200000), "High (801k - 1.2m)")</f>
        <v>Low (180k-500k)</v>
      </c>
    </row>
    <row r="279" spans="1:20" x14ac:dyDescent="0.2">
      <c r="A279">
        <v>278</v>
      </c>
      <c r="B279" t="s">
        <v>26</v>
      </c>
      <c r="C279" t="s">
        <v>14</v>
      </c>
      <c r="D279">
        <v>40</v>
      </c>
      <c r="E279" t="s">
        <v>15</v>
      </c>
      <c r="F279" t="s">
        <v>34</v>
      </c>
      <c r="G279">
        <v>873894</v>
      </c>
      <c r="H279" t="s">
        <v>338</v>
      </c>
      <c r="J279" t="s">
        <v>18</v>
      </c>
      <c r="K279">
        <v>3</v>
      </c>
      <c r="L279">
        <v>29</v>
      </c>
      <c r="M279">
        <v>92</v>
      </c>
      <c r="N279">
        <f>IF(Table1[[#This Row],[Employment_Status]]="Exited",1,0)</f>
        <v>0</v>
      </c>
      <c r="O279" t="str" cm="1">
        <f t="array" ref="O279">_xlfn.IFS(AND(Table1[[#This Row],[Age]]&gt;=22,Table1[[#This Row],[Age]]&lt;=35),"22-35",AND(Table1[[#This Row],[Age]]&gt;=36,Table1[[#This Row],[Age]]&lt;=45),"36-45",AND(Table1[[#This Row],[Age]]&gt;=46,Table1[[#This Row],[Age]]&lt;=55),"46-55")</f>
        <v>36-45</v>
      </c>
      <c r="P279">
        <f>IF(Table1[[#This Row],[Employment_Status]]="active",1,0)</f>
        <v>1</v>
      </c>
      <c r="Q279">
        <v>1</v>
      </c>
      <c r="R279" s="6">
        <f ca="1">YEARFRAC(Table1[[#This Row],[Hire_Date]],IF(Table1[[#This Row],[Employment_Status]]="Exited",Table1[[#This Row],[Exit_Date]],TODAY()))</f>
        <v>3.9249999999999998</v>
      </c>
      <c r="S279" t="str" cm="1">
        <f t="array" aca="1" ref="S279" ca="1">_xlfn.IFS(AND(Table1[[#This Row],[Tenure]]&gt;=0,Table1[[#This Row],[Tenure]]&lt;=1),"0-1",AND(Table1[[#This Row],[Tenure]]&gt;1,Table1[[#This Row],[Tenure]]&lt;=3),"1-3",AND(Table1[[#This Row],[Tenure]]&gt;3,Table1[[#This Row],[Tenure]]&lt;=5),"3-5",AND(Table1[[#This Row],[Tenure]]&gt;5,Table1[[#This Row],[Tenure]]&lt;=8),"5-8")</f>
        <v>3-5</v>
      </c>
      <c r="T279" t="str" cm="1">
        <f t="array" ref="T279">_xlfn.IFS(AND(Table1[[#This Row],[Salary]]&gt;=180000, Table1[[#This Row],[Salary]] &lt;=500000),"Low (180k-500k)", AND(Table1[[#This Row],[Salary]]&gt;500000, Table1[[#This Row],[Salary]]&lt;=800000), "Medium (501k-800k)", AND(Table1[[#This Row],[Salary]]&gt;800000, Table1[[#This Row],[Salary]]&lt;1200000), "High (801k - 1.2m)")</f>
        <v>High (801k - 1.2m)</v>
      </c>
    </row>
    <row r="280" spans="1:20" x14ac:dyDescent="0.2">
      <c r="A280">
        <v>279</v>
      </c>
      <c r="B280" t="s">
        <v>33</v>
      </c>
      <c r="C280" t="s">
        <v>14</v>
      </c>
      <c r="D280">
        <v>42</v>
      </c>
      <c r="E280" t="s">
        <v>15</v>
      </c>
      <c r="F280" t="s">
        <v>27</v>
      </c>
      <c r="G280">
        <v>680413</v>
      </c>
      <c r="H280" t="s">
        <v>339</v>
      </c>
      <c r="J280" t="s">
        <v>18</v>
      </c>
      <c r="K280">
        <v>5</v>
      </c>
      <c r="L280">
        <v>49</v>
      </c>
      <c r="M280">
        <v>70</v>
      </c>
      <c r="N280">
        <f>IF(Table1[[#This Row],[Employment_Status]]="Exited",1,0)</f>
        <v>0</v>
      </c>
      <c r="O280" t="str" cm="1">
        <f t="array" ref="O280">_xlfn.IFS(AND(Table1[[#This Row],[Age]]&gt;=22,Table1[[#This Row],[Age]]&lt;=35),"22-35",AND(Table1[[#This Row],[Age]]&gt;=36,Table1[[#This Row],[Age]]&lt;=45),"36-45",AND(Table1[[#This Row],[Age]]&gt;=46,Table1[[#This Row],[Age]]&lt;=55),"46-55")</f>
        <v>36-45</v>
      </c>
      <c r="P280">
        <f>IF(Table1[[#This Row],[Employment_Status]]="active",1,0)</f>
        <v>1</v>
      </c>
      <c r="Q280">
        <v>1</v>
      </c>
      <c r="R280" s="6">
        <f ca="1">YEARFRAC(Table1[[#This Row],[Hire_Date]],IF(Table1[[#This Row],[Employment_Status]]="Exited",Table1[[#This Row],[Exit_Date]],TODAY()))</f>
        <v>3.1888888888888891</v>
      </c>
      <c r="S280" t="str" cm="1">
        <f t="array" aca="1" ref="S280" ca="1">_xlfn.IFS(AND(Table1[[#This Row],[Tenure]]&gt;=0,Table1[[#This Row],[Tenure]]&lt;=1),"0-1",AND(Table1[[#This Row],[Tenure]]&gt;1,Table1[[#This Row],[Tenure]]&lt;=3),"1-3",AND(Table1[[#This Row],[Tenure]]&gt;3,Table1[[#This Row],[Tenure]]&lt;=5),"3-5",AND(Table1[[#This Row],[Tenure]]&gt;5,Table1[[#This Row],[Tenure]]&lt;=8),"5-8")</f>
        <v>3-5</v>
      </c>
      <c r="T280" t="str" cm="1">
        <f t="array" ref="T280">_xlfn.IFS(AND(Table1[[#This Row],[Salary]]&gt;=180000, Table1[[#This Row],[Salary]] &lt;=500000),"Low (180k-500k)", AND(Table1[[#This Row],[Salary]]&gt;500000, Table1[[#This Row],[Salary]]&lt;=800000), "Medium (501k-800k)", AND(Table1[[#This Row],[Salary]]&gt;800000, Table1[[#This Row],[Salary]]&lt;1200000), "High (801k - 1.2m)")</f>
        <v>Medium (501k-800k)</v>
      </c>
    </row>
    <row r="281" spans="1:20" x14ac:dyDescent="0.2">
      <c r="A281">
        <v>280</v>
      </c>
      <c r="B281" t="s">
        <v>33</v>
      </c>
      <c r="C281" t="s">
        <v>14</v>
      </c>
      <c r="D281">
        <v>25</v>
      </c>
      <c r="E281" t="s">
        <v>61</v>
      </c>
      <c r="F281" t="s">
        <v>16</v>
      </c>
      <c r="G281">
        <v>211467</v>
      </c>
      <c r="H281" t="s">
        <v>340</v>
      </c>
      <c r="J281" t="s">
        <v>18</v>
      </c>
      <c r="K281">
        <v>5</v>
      </c>
      <c r="L281">
        <v>34</v>
      </c>
      <c r="M281">
        <v>89</v>
      </c>
      <c r="N281">
        <f>IF(Table1[[#This Row],[Employment_Status]]="Exited",1,0)</f>
        <v>0</v>
      </c>
      <c r="O281" t="str" cm="1">
        <f t="array" ref="O281">_xlfn.IFS(AND(Table1[[#This Row],[Age]]&gt;=22,Table1[[#This Row],[Age]]&lt;=35),"22-35",AND(Table1[[#This Row],[Age]]&gt;=36,Table1[[#This Row],[Age]]&lt;=45),"36-45",AND(Table1[[#This Row],[Age]]&gt;=46,Table1[[#This Row],[Age]]&lt;=55),"46-55")</f>
        <v>22-35</v>
      </c>
      <c r="P281">
        <f>IF(Table1[[#This Row],[Employment_Status]]="active",1,0)</f>
        <v>1</v>
      </c>
      <c r="Q281">
        <v>1</v>
      </c>
      <c r="R281" s="6">
        <f ca="1">YEARFRAC(Table1[[#This Row],[Hire_Date]],IF(Table1[[#This Row],[Employment_Status]]="Exited",Table1[[#This Row],[Exit_Date]],TODAY()))</f>
        <v>6.3138888888888891</v>
      </c>
      <c r="S281" t="str" cm="1">
        <f t="array" aca="1" ref="S281" ca="1">_xlfn.IFS(AND(Table1[[#This Row],[Tenure]]&gt;=0,Table1[[#This Row],[Tenure]]&lt;=1),"0-1",AND(Table1[[#This Row],[Tenure]]&gt;1,Table1[[#This Row],[Tenure]]&lt;=3),"1-3",AND(Table1[[#This Row],[Tenure]]&gt;3,Table1[[#This Row],[Tenure]]&lt;=5),"3-5",AND(Table1[[#This Row],[Tenure]]&gt;5,Table1[[#This Row],[Tenure]]&lt;=8),"5-8")</f>
        <v>5-8</v>
      </c>
      <c r="T281" t="str" cm="1">
        <f t="array" ref="T281">_xlfn.IFS(AND(Table1[[#This Row],[Salary]]&gt;=180000, Table1[[#This Row],[Salary]] &lt;=500000),"Low (180k-500k)", AND(Table1[[#This Row],[Salary]]&gt;500000, Table1[[#This Row],[Salary]]&lt;=800000), "Medium (501k-800k)", AND(Table1[[#This Row],[Salary]]&gt;800000, Table1[[#This Row],[Salary]]&lt;1200000), "High (801k - 1.2m)")</f>
        <v>Low (180k-500k)</v>
      </c>
    </row>
    <row r="282" spans="1:20" x14ac:dyDescent="0.2">
      <c r="A282">
        <v>281</v>
      </c>
      <c r="B282" t="s">
        <v>47</v>
      </c>
      <c r="C282" t="s">
        <v>20</v>
      </c>
      <c r="D282">
        <v>23</v>
      </c>
      <c r="E282" t="s">
        <v>15</v>
      </c>
      <c r="F282" t="s">
        <v>34</v>
      </c>
      <c r="G282">
        <v>798439</v>
      </c>
      <c r="H282" t="s">
        <v>341</v>
      </c>
      <c r="J282" t="s">
        <v>18</v>
      </c>
      <c r="K282">
        <v>3</v>
      </c>
      <c r="L282">
        <v>29</v>
      </c>
      <c r="M282">
        <v>65</v>
      </c>
      <c r="N282">
        <f>IF(Table1[[#This Row],[Employment_Status]]="Exited",1,0)</f>
        <v>0</v>
      </c>
      <c r="O282" t="str" cm="1">
        <f t="array" ref="O282">_xlfn.IFS(AND(Table1[[#This Row],[Age]]&gt;=22,Table1[[#This Row],[Age]]&lt;=35),"22-35",AND(Table1[[#This Row],[Age]]&gt;=36,Table1[[#This Row],[Age]]&lt;=45),"36-45",AND(Table1[[#This Row],[Age]]&gt;=46,Table1[[#This Row],[Age]]&lt;=55),"46-55")</f>
        <v>22-35</v>
      </c>
      <c r="P282">
        <f>IF(Table1[[#This Row],[Employment_Status]]="active",1,0)</f>
        <v>1</v>
      </c>
      <c r="Q282">
        <v>1</v>
      </c>
      <c r="R282" s="6">
        <f ca="1">YEARFRAC(Table1[[#This Row],[Hire_Date]],IF(Table1[[#This Row],[Employment_Status]]="Exited",Table1[[#This Row],[Exit_Date]],TODAY()))</f>
        <v>4.541666666666667</v>
      </c>
      <c r="S282" t="str" cm="1">
        <f t="array" aca="1" ref="S282" ca="1">_xlfn.IFS(AND(Table1[[#This Row],[Tenure]]&gt;=0,Table1[[#This Row],[Tenure]]&lt;=1),"0-1",AND(Table1[[#This Row],[Tenure]]&gt;1,Table1[[#This Row],[Tenure]]&lt;=3),"1-3",AND(Table1[[#This Row],[Tenure]]&gt;3,Table1[[#This Row],[Tenure]]&lt;=5),"3-5",AND(Table1[[#This Row],[Tenure]]&gt;5,Table1[[#This Row],[Tenure]]&lt;=8),"5-8")</f>
        <v>3-5</v>
      </c>
      <c r="T282" t="str" cm="1">
        <f t="array" ref="T282">_xlfn.IFS(AND(Table1[[#This Row],[Salary]]&gt;=180000, Table1[[#This Row],[Salary]] &lt;=500000),"Low (180k-500k)", AND(Table1[[#This Row],[Salary]]&gt;500000, Table1[[#This Row],[Salary]]&lt;=800000), "Medium (501k-800k)", AND(Table1[[#This Row],[Salary]]&gt;800000, Table1[[#This Row],[Salary]]&lt;1200000), "High (801k - 1.2m)")</f>
        <v>Medium (501k-800k)</v>
      </c>
    </row>
    <row r="283" spans="1:20" x14ac:dyDescent="0.2">
      <c r="A283">
        <v>282</v>
      </c>
      <c r="B283" t="s">
        <v>33</v>
      </c>
      <c r="C283" t="s">
        <v>20</v>
      </c>
      <c r="D283">
        <v>51</v>
      </c>
      <c r="E283" t="s">
        <v>15</v>
      </c>
      <c r="F283" t="s">
        <v>34</v>
      </c>
      <c r="G283">
        <v>1094202</v>
      </c>
      <c r="H283" t="s">
        <v>342</v>
      </c>
      <c r="J283" t="s">
        <v>18</v>
      </c>
      <c r="K283">
        <v>4</v>
      </c>
      <c r="L283">
        <v>9</v>
      </c>
      <c r="M283">
        <v>91</v>
      </c>
      <c r="N283">
        <f>IF(Table1[[#This Row],[Employment_Status]]="Exited",1,0)</f>
        <v>0</v>
      </c>
      <c r="O283" t="str" cm="1">
        <f t="array" ref="O283">_xlfn.IFS(AND(Table1[[#This Row],[Age]]&gt;=22,Table1[[#This Row],[Age]]&lt;=35),"22-35",AND(Table1[[#This Row],[Age]]&gt;=36,Table1[[#This Row],[Age]]&lt;=45),"36-45",AND(Table1[[#This Row],[Age]]&gt;=46,Table1[[#This Row],[Age]]&lt;=55),"46-55")</f>
        <v>46-55</v>
      </c>
      <c r="P283">
        <f>IF(Table1[[#This Row],[Employment_Status]]="active",1,0)</f>
        <v>1</v>
      </c>
      <c r="Q283">
        <v>1</v>
      </c>
      <c r="R283" s="6">
        <f ca="1">YEARFRAC(Table1[[#This Row],[Hire_Date]],IF(Table1[[#This Row],[Employment_Status]]="Exited",Table1[[#This Row],[Exit_Date]],TODAY()))</f>
        <v>2.8416666666666668</v>
      </c>
      <c r="S283" t="str" cm="1">
        <f t="array" aca="1" ref="S283" ca="1">_xlfn.IFS(AND(Table1[[#This Row],[Tenure]]&gt;=0,Table1[[#This Row],[Tenure]]&lt;=1),"0-1",AND(Table1[[#This Row],[Tenure]]&gt;1,Table1[[#This Row],[Tenure]]&lt;=3),"1-3",AND(Table1[[#This Row],[Tenure]]&gt;3,Table1[[#This Row],[Tenure]]&lt;=5),"3-5",AND(Table1[[#This Row],[Tenure]]&gt;5,Table1[[#This Row],[Tenure]]&lt;=8),"5-8")</f>
        <v>1-3</v>
      </c>
      <c r="T283" t="str" cm="1">
        <f t="array" ref="T283">_xlfn.IFS(AND(Table1[[#This Row],[Salary]]&gt;=180000, Table1[[#This Row],[Salary]] &lt;=500000),"Low (180k-500k)", AND(Table1[[#This Row],[Salary]]&gt;500000, Table1[[#This Row],[Salary]]&lt;=800000), "Medium (501k-800k)", AND(Table1[[#This Row],[Salary]]&gt;800000, Table1[[#This Row],[Salary]]&lt;1200000), "High (801k - 1.2m)")</f>
        <v>High (801k - 1.2m)</v>
      </c>
    </row>
    <row r="284" spans="1:20" x14ac:dyDescent="0.2">
      <c r="A284">
        <v>283</v>
      </c>
      <c r="B284" t="s">
        <v>75</v>
      </c>
      <c r="C284" t="s">
        <v>20</v>
      </c>
      <c r="D284">
        <v>37</v>
      </c>
      <c r="E284" t="s">
        <v>15</v>
      </c>
      <c r="F284" t="s">
        <v>16</v>
      </c>
      <c r="G284">
        <v>1097127</v>
      </c>
      <c r="H284" t="s">
        <v>343</v>
      </c>
      <c r="J284" t="s">
        <v>18</v>
      </c>
      <c r="K284">
        <v>3</v>
      </c>
      <c r="L284">
        <v>29</v>
      </c>
      <c r="M284">
        <v>77</v>
      </c>
      <c r="N284">
        <f>IF(Table1[[#This Row],[Employment_Status]]="Exited",1,0)</f>
        <v>0</v>
      </c>
      <c r="O284" t="str" cm="1">
        <f t="array" ref="O284">_xlfn.IFS(AND(Table1[[#This Row],[Age]]&gt;=22,Table1[[#This Row],[Age]]&lt;=35),"22-35",AND(Table1[[#This Row],[Age]]&gt;=36,Table1[[#This Row],[Age]]&lt;=45),"36-45",AND(Table1[[#This Row],[Age]]&gt;=46,Table1[[#This Row],[Age]]&lt;=55),"46-55")</f>
        <v>36-45</v>
      </c>
      <c r="P284">
        <f>IF(Table1[[#This Row],[Employment_Status]]="active",1,0)</f>
        <v>1</v>
      </c>
      <c r="Q284">
        <v>1</v>
      </c>
      <c r="R284" s="6">
        <f ca="1">YEARFRAC(Table1[[#This Row],[Hire_Date]],IF(Table1[[#This Row],[Employment_Status]]="Exited",Table1[[#This Row],[Exit_Date]],TODAY()))</f>
        <v>4.2</v>
      </c>
      <c r="S284" t="str" cm="1">
        <f t="array" aca="1" ref="S284" ca="1">_xlfn.IFS(AND(Table1[[#This Row],[Tenure]]&gt;=0,Table1[[#This Row],[Tenure]]&lt;=1),"0-1",AND(Table1[[#This Row],[Tenure]]&gt;1,Table1[[#This Row],[Tenure]]&lt;=3),"1-3",AND(Table1[[#This Row],[Tenure]]&gt;3,Table1[[#This Row],[Tenure]]&lt;=5),"3-5",AND(Table1[[#This Row],[Tenure]]&gt;5,Table1[[#This Row],[Tenure]]&lt;=8),"5-8")</f>
        <v>3-5</v>
      </c>
      <c r="T284" t="str" cm="1">
        <f t="array" ref="T284">_xlfn.IFS(AND(Table1[[#This Row],[Salary]]&gt;=180000, Table1[[#This Row],[Salary]] &lt;=500000),"Low (180k-500k)", AND(Table1[[#This Row],[Salary]]&gt;500000, Table1[[#This Row],[Salary]]&lt;=800000), "Medium (501k-800k)", AND(Table1[[#This Row],[Salary]]&gt;800000, Table1[[#This Row],[Salary]]&lt;1200000), "High (801k - 1.2m)")</f>
        <v>High (801k - 1.2m)</v>
      </c>
    </row>
    <row r="285" spans="1:20" x14ac:dyDescent="0.2">
      <c r="A285">
        <v>284</v>
      </c>
      <c r="B285" t="s">
        <v>29</v>
      </c>
      <c r="C285" t="s">
        <v>14</v>
      </c>
      <c r="D285">
        <v>22</v>
      </c>
      <c r="E285" t="s">
        <v>45</v>
      </c>
      <c r="F285" t="s">
        <v>34</v>
      </c>
      <c r="G285">
        <v>416797</v>
      </c>
      <c r="H285" t="s">
        <v>344</v>
      </c>
      <c r="J285" t="s">
        <v>18</v>
      </c>
      <c r="K285">
        <v>3</v>
      </c>
      <c r="L285">
        <v>43</v>
      </c>
      <c r="M285">
        <v>87</v>
      </c>
      <c r="N285">
        <f>IF(Table1[[#This Row],[Employment_Status]]="Exited",1,0)</f>
        <v>0</v>
      </c>
      <c r="O285" t="str" cm="1">
        <f t="array" ref="O285">_xlfn.IFS(AND(Table1[[#This Row],[Age]]&gt;=22,Table1[[#This Row],[Age]]&lt;=35),"22-35",AND(Table1[[#This Row],[Age]]&gt;=36,Table1[[#This Row],[Age]]&lt;=45),"36-45",AND(Table1[[#This Row],[Age]]&gt;=46,Table1[[#This Row],[Age]]&lt;=55),"46-55")</f>
        <v>22-35</v>
      </c>
      <c r="P285">
        <f>IF(Table1[[#This Row],[Employment_Status]]="active",1,0)</f>
        <v>1</v>
      </c>
      <c r="Q285">
        <v>1</v>
      </c>
      <c r="R285" s="6">
        <f ca="1">YEARFRAC(Table1[[#This Row],[Hire_Date]],IF(Table1[[#This Row],[Employment_Status]]="Exited",Table1[[#This Row],[Exit_Date]],TODAY()))</f>
        <v>2.3611111111111112</v>
      </c>
      <c r="S285" t="str" cm="1">
        <f t="array" aca="1" ref="S285" ca="1">_xlfn.IFS(AND(Table1[[#This Row],[Tenure]]&gt;=0,Table1[[#This Row],[Tenure]]&lt;=1),"0-1",AND(Table1[[#This Row],[Tenure]]&gt;1,Table1[[#This Row],[Tenure]]&lt;=3),"1-3",AND(Table1[[#This Row],[Tenure]]&gt;3,Table1[[#This Row],[Tenure]]&lt;=5),"3-5",AND(Table1[[#This Row],[Tenure]]&gt;5,Table1[[#This Row],[Tenure]]&lt;=8),"5-8")</f>
        <v>1-3</v>
      </c>
      <c r="T285" t="str" cm="1">
        <f t="array" ref="T285">_xlfn.IFS(AND(Table1[[#This Row],[Salary]]&gt;=180000, Table1[[#This Row],[Salary]] &lt;=500000),"Low (180k-500k)", AND(Table1[[#This Row],[Salary]]&gt;500000, Table1[[#This Row],[Salary]]&lt;=800000), "Medium (501k-800k)", AND(Table1[[#This Row],[Salary]]&gt;800000, Table1[[#This Row],[Salary]]&lt;1200000), "High (801k - 1.2m)")</f>
        <v>Low (180k-500k)</v>
      </c>
    </row>
    <row r="286" spans="1:20" x14ac:dyDescent="0.2">
      <c r="A286">
        <v>285</v>
      </c>
      <c r="B286" t="s">
        <v>33</v>
      </c>
      <c r="C286" t="s">
        <v>14</v>
      </c>
      <c r="D286">
        <v>33</v>
      </c>
      <c r="E286" t="s">
        <v>21</v>
      </c>
      <c r="F286" t="s">
        <v>16</v>
      </c>
      <c r="G286">
        <v>552008</v>
      </c>
      <c r="H286" t="s">
        <v>345</v>
      </c>
      <c r="J286" t="s">
        <v>18</v>
      </c>
      <c r="K286">
        <v>5</v>
      </c>
      <c r="L286">
        <v>41</v>
      </c>
      <c r="M286">
        <v>71</v>
      </c>
      <c r="N286">
        <f>IF(Table1[[#This Row],[Employment_Status]]="Exited",1,0)</f>
        <v>0</v>
      </c>
      <c r="O286" t="str" cm="1">
        <f t="array" ref="O286">_xlfn.IFS(AND(Table1[[#This Row],[Age]]&gt;=22,Table1[[#This Row],[Age]]&lt;=35),"22-35",AND(Table1[[#This Row],[Age]]&gt;=36,Table1[[#This Row],[Age]]&lt;=45),"36-45",AND(Table1[[#This Row],[Age]]&gt;=46,Table1[[#This Row],[Age]]&lt;=55),"46-55")</f>
        <v>22-35</v>
      </c>
      <c r="P286">
        <f>IF(Table1[[#This Row],[Employment_Status]]="active",1,0)</f>
        <v>1</v>
      </c>
      <c r="Q286">
        <v>1</v>
      </c>
      <c r="R286" s="6">
        <f ca="1">YEARFRAC(Table1[[#This Row],[Hire_Date]],IF(Table1[[#This Row],[Employment_Status]]="Exited",Table1[[#This Row],[Exit_Date]],TODAY()))</f>
        <v>3.3194444444444446</v>
      </c>
      <c r="S286" t="str" cm="1">
        <f t="array" aca="1" ref="S286" ca="1">_xlfn.IFS(AND(Table1[[#This Row],[Tenure]]&gt;=0,Table1[[#This Row],[Tenure]]&lt;=1),"0-1",AND(Table1[[#This Row],[Tenure]]&gt;1,Table1[[#This Row],[Tenure]]&lt;=3),"1-3",AND(Table1[[#This Row],[Tenure]]&gt;3,Table1[[#This Row],[Tenure]]&lt;=5),"3-5",AND(Table1[[#This Row],[Tenure]]&gt;5,Table1[[#This Row],[Tenure]]&lt;=8),"5-8")</f>
        <v>3-5</v>
      </c>
      <c r="T286" t="str" cm="1">
        <f t="array" ref="T286">_xlfn.IFS(AND(Table1[[#This Row],[Salary]]&gt;=180000, Table1[[#This Row],[Salary]] &lt;=500000),"Low (180k-500k)", AND(Table1[[#This Row],[Salary]]&gt;500000, Table1[[#This Row],[Salary]]&lt;=800000), "Medium (501k-800k)", AND(Table1[[#This Row],[Salary]]&gt;800000, Table1[[#This Row],[Salary]]&lt;1200000), "High (801k - 1.2m)")</f>
        <v>Medium (501k-800k)</v>
      </c>
    </row>
    <row r="287" spans="1:20" x14ac:dyDescent="0.2">
      <c r="A287">
        <v>286</v>
      </c>
      <c r="B287" t="s">
        <v>24</v>
      </c>
      <c r="C287" t="s">
        <v>20</v>
      </c>
      <c r="D287">
        <v>22</v>
      </c>
      <c r="E287" t="s">
        <v>21</v>
      </c>
      <c r="F287" t="s">
        <v>16</v>
      </c>
      <c r="G287">
        <v>307262</v>
      </c>
      <c r="H287" t="s">
        <v>346</v>
      </c>
      <c r="J287" t="s">
        <v>18</v>
      </c>
      <c r="K287">
        <v>4</v>
      </c>
      <c r="L287">
        <v>44</v>
      </c>
      <c r="M287">
        <v>77</v>
      </c>
      <c r="N287">
        <f>IF(Table1[[#This Row],[Employment_Status]]="Exited",1,0)</f>
        <v>0</v>
      </c>
      <c r="O287" t="str" cm="1">
        <f t="array" ref="O287">_xlfn.IFS(AND(Table1[[#This Row],[Age]]&gt;=22,Table1[[#This Row],[Age]]&lt;=35),"22-35",AND(Table1[[#This Row],[Age]]&gt;=36,Table1[[#This Row],[Age]]&lt;=45),"36-45",AND(Table1[[#This Row],[Age]]&gt;=46,Table1[[#This Row],[Age]]&lt;=55),"46-55")</f>
        <v>22-35</v>
      </c>
      <c r="P287">
        <f>IF(Table1[[#This Row],[Employment_Status]]="active",1,0)</f>
        <v>1</v>
      </c>
      <c r="Q287">
        <v>1</v>
      </c>
      <c r="R287" s="6">
        <f ca="1">YEARFRAC(Table1[[#This Row],[Hire_Date]],IF(Table1[[#This Row],[Employment_Status]]="Exited",Table1[[#This Row],[Exit_Date]],TODAY()))</f>
        <v>5.2138888888888886</v>
      </c>
      <c r="S287" t="str" cm="1">
        <f t="array" aca="1" ref="S287" ca="1">_xlfn.IFS(AND(Table1[[#This Row],[Tenure]]&gt;=0,Table1[[#This Row],[Tenure]]&lt;=1),"0-1",AND(Table1[[#This Row],[Tenure]]&gt;1,Table1[[#This Row],[Tenure]]&lt;=3),"1-3",AND(Table1[[#This Row],[Tenure]]&gt;3,Table1[[#This Row],[Tenure]]&lt;=5),"3-5",AND(Table1[[#This Row],[Tenure]]&gt;5,Table1[[#This Row],[Tenure]]&lt;=8),"5-8")</f>
        <v>5-8</v>
      </c>
      <c r="T287" t="str" cm="1">
        <f t="array" ref="T287">_xlfn.IFS(AND(Table1[[#This Row],[Salary]]&gt;=180000, Table1[[#This Row],[Salary]] &lt;=500000),"Low (180k-500k)", AND(Table1[[#This Row],[Salary]]&gt;500000, Table1[[#This Row],[Salary]]&lt;=800000), "Medium (501k-800k)", AND(Table1[[#This Row],[Salary]]&gt;800000, Table1[[#This Row],[Salary]]&lt;1200000), "High (801k - 1.2m)")</f>
        <v>Low (180k-500k)</v>
      </c>
    </row>
    <row r="288" spans="1:20" x14ac:dyDescent="0.2">
      <c r="A288">
        <v>287</v>
      </c>
      <c r="B288" t="s">
        <v>58</v>
      </c>
      <c r="C288" t="s">
        <v>20</v>
      </c>
      <c r="D288">
        <v>30</v>
      </c>
      <c r="E288" t="s">
        <v>61</v>
      </c>
      <c r="F288" t="s">
        <v>22</v>
      </c>
      <c r="G288">
        <v>313323</v>
      </c>
      <c r="H288" t="s">
        <v>347</v>
      </c>
      <c r="I288" t="s">
        <v>348</v>
      </c>
      <c r="J288" t="s">
        <v>55</v>
      </c>
      <c r="K288">
        <v>4</v>
      </c>
      <c r="L288">
        <v>47</v>
      </c>
      <c r="M288">
        <v>65</v>
      </c>
      <c r="N288">
        <f>IF(Table1[[#This Row],[Employment_Status]]="Exited",1,0)</f>
        <v>1</v>
      </c>
      <c r="O288" t="str" cm="1">
        <f t="array" ref="O288">_xlfn.IFS(AND(Table1[[#This Row],[Age]]&gt;=22,Table1[[#This Row],[Age]]&lt;=35),"22-35",AND(Table1[[#This Row],[Age]]&gt;=36,Table1[[#This Row],[Age]]&lt;=45),"36-45",AND(Table1[[#This Row],[Age]]&gt;=46,Table1[[#This Row],[Age]]&lt;=55),"46-55")</f>
        <v>22-35</v>
      </c>
      <c r="P288">
        <f>IF(Table1[[#This Row],[Employment_Status]]="active",1,0)</f>
        <v>0</v>
      </c>
      <c r="Q288">
        <v>1</v>
      </c>
      <c r="R288" s="6">
        <f ca="1">YEARFRAC(Table1[[#This Row],[Hire_Date]],IF(Table1[[#This Row],[Employment_Status]]="Exited",Table1[[#This Row],[Exit_Date]],TODAY()))</f>
        <v>1.4888888888888889</v>
      </c>
      <c r="S288" t="str" cm="1">
        <f t="array" aca="1" ref="S288" ca="1">_xlfn.IFS(AND(Table1[[#This Row],[Tenure]]&gt;=0,Table1[[#This Row],[Tenure]]&lt;=1),"0-1",AND(Table1[[#This Row],[Tenure]]&gt;1,Table1[[#This Row],[Tenure]]&lt;=3),"1-3",AND(Table1[[#This Row],[Tenure]]&gt;3,Table1[[#This Row],[Tenure]]&lt;=5),"3-5",AND(Table1[[#This Row],[Tenure]]&gt;5,Table1[[#This Row],[Tenure]]&lt;=8),"5-8")</f>
        <v>1-3</v>
      </c>
      <c r="T288" t="str" cm="1">
        <f t="array" ref="T288">_xlfn.IFS(AND(Table1[[#This Row],[Salary]]&gt;=180000, Table1[[#This Row],[Salary]] &lt;=500000),"Low (180k-500k)", AND(Table1[[#This Row],[Salary]]&gt;500000, Table1[[#This Row],[Salary]]&lt;=800000), "Medium (501k-800k)", AND(Table1[[#This Row],[Salary]]&gt;800000, Table1[[#This Row],[Salary]]&lt;1200000), "High (801k - 1.2m)")</f>
        <v>Low (180k-500k)</v>
      </c>
    </row>
    <row r="289" spans="1:20" x14ac:dyDescent="0.2">
      <c r="A289">
        <v>288</v>
      </c>
      <c r="B289" t="s">
        <v>40</v>
      </c>
      <c r="C289" t="s">
        <v>20</v>
      </c>
      <c r="D289">
        <v>26</v>
      </c>
      <c r="E289" t="s">
        <v>61</v>
      </c>
      <c r="F289" t="s">
        <v>27</v>
      </c>
      <c r="G289">
        <v>382914</v>
      </c>
      <c r="H289" t="s">
        <v>349</v>
      </c>
      <c r="J289" t="s">
        <v>18</v>
      </c>
      <c r="K289">
        <v>4</v>
      </c>
      <c r="L289">
        <v>48</v>
      </c>
      <c r="M289">
        <v>98</v>
      </c>
      <c r="N289">
        <f>IF(Table1[[#This Row],[Employment_Status]]="Exited",1,0)</f>
        <v>0</v>
      </c>
      <c r="O289" t="str" cm="1">
        <f t="array" ref="O289">_xlfn.IFS(AND(Table1[[#This Row],[Age]]&gt;=22,Table1[[#This Row],[Age]]&lt;=35),"22-35",AND(Table1[[#This Row],[Age]]&gt;=36,Table1[[#This Row],[Age]]&lt;=45),"36-45",AND(Table1[[#This Row],[Age]]&gt;=46,Table1[[#This Row],[Age]]&lt;=55),"46-55")</f>
        <v>22-35</v>
      </c>
      <c r="P289">
        <f>IF(Table1[[#This Row],[Employment_Status]]="active",1,0)</f>
        <v>1</v>
      </c>
      <c r="Q289">
        <v>1</v>
      </c>
      <c r="R289" s="6">
        <f ca="1">YEARFRAC(Table1[[#This Row],[Hire_Date]],IF(Table1[[#This Row],[Employment_Status]]="Exited",Table1[[#This Row],[Exit_Date]],TODAY()))</f>
        <v>4.3527777777777779</v>
      </c>
      <c r="S289" t="str" cm="1">
        <f t="array" aca="1" ref="S289" ca="1">_xlfn.IFS(AND(Table1[[#This Row],[Tenure]]&gt;=0,Table1[[#This Row],[Tenure]]&lt;=1),"0-1",AND(Table1[[#This Row],[Tenure]]&gt;1,Table1[[#This Row],[Tenure]]&lt;=3),"1-3",AND(Table1[[#This Row],[Tenure]]&gt;3,Table1[[#This Row],[Tenure]]&lt;=5),"3-5",AND(Table1[[#This Row],[Tenure]]&gt;5,Table1[[#This Row],[Tenure]]&lt;=8),"5-8")</f>
        <v>3-5</v>
      </c>
      <c r="T289" t="str" cm="1">
        <f t="array" ref="T289">_xlfn.IFS(AND(Table1[[#This Row],[Salary]]&gt;=180000, Table1[[#This Row],[Salary]] &lt;=500000),"Low (180k-500k)", AND(Table1[[#This Row],[Salary]]&gt;500000, Table1[[#This Row],[Salary]]&lt;=800000), "Medium (501k-800k)", AND(Table1[[#This Row],[Salary]]&gt;800000, Table1[[#This Row],[Salary]]&lt;1200000), "High (801k - 1.2m)")</f>
        <v>Low (180k-500k)</v>
      </c>
    </row>
    <row r="290" spans="1:20" x14ac:dyDescent="0.2">
      <c r="A290">
        <v>289</v>
      </c>
      <c r="B290" t="s">
        <v>13</v>
      </c>
      <c r="C290" t="s">
        <v>14</v>
      </c>
      <c r="D290">
        <v>51</v>
      </c>
      <c r="E290" t="s">
        <v>61</v>
      </c>
      <c r="F290" t="s">
        <v>22</v>
      </c>
      <c r="G290">
        <v>355352</v>
      </c>
      <c r="H290" t="s">
        <v>350</v>
      </c>
      <c r="J290" t="s">
        <v>18</v>
      </c>
      <c r="K290">
        <v>5</v>
      </c>
      <c r="L290">
        <v>50</v>
      </c>
      <c r="M290">
        <v>70</v>
      </c>
      <c r="N290">
        <f>IF(Table1[[#This Row],[Employment_Status]]="Exited",1,0)</f>
        <v>0</v>
      </c>
      <c r="O290" t="str" cm="1">
        <f t="array" ref="O290">_xlfn.IFS(AND(Table1[[#This Row],[Age]]&gt;=22,Table1[[#This Row],[Age]]&lt;=35),"22-35",AND(Table1[[#This Row],[Age]]&gt;=36,Table1[[#This Row],[Age]]&lt;=45),"36-45",AND(Table1[[#This Row],[Age]]&gt;=46,Table1[[#This Row],[Age]]&lt;=55),"46-55")</f>
        <v>46-55</v>
      </c>
      <c r="P290">
        <f>IF(Table1[[#This Row],[Employment_Status]]="active",1,0)</f>
        <v>1</v>
      </c>
      <c r="Q290">
        <v>1</v>
      </c>
      <c r="R290" s="6">
        <f ca="1">YEARFRAC(Table1[[#This Row],[Hire_Date]],IF(Table1[[#This Row],[Employment_Status]]="Exited",Table1[[#This Row],[Exit_Date]],TODAY()))</f>
        <v>6.2972222222222225</v>
      </c>
      <c r="S290" t="str" cm="1">
        <f t="array" aca="1" ref="S290" ca="1">_xlfn.IFS(AND(Table1[[#This Row],[Tenure]]&gt;=0,Table1[[#This Row],[Tenure]]&lt;=1),"0-1",AND(Table1[[#This Row],[Tenure]]&gt;1,Table1[[#This Row],[Tenure]]&lt;=3),"1-3",AND(Table1[[#This Row],[Tenure]]&gt;3,Table1[[#This Row],[Tenure]]&lt;=5),"3-5",AND(Table1[[#This Row],[Tenure]]&gt;5,Table1[[#This Row],[Tenure]]&lt;=8),"5-8")</f>
        <v>5-8</v>
      </c>
      <c r="T290" t="str" cm="1">
        <f t="array" ref="T290">_xlfn.IFS(AND(Table1[[#This Row],[Salary]]&gt;=180000, Table1[[#This Row],[Salary]] &lt;=500000),"Low (180k-500k)", AND(Table1[[#This Row],[Salary]]&gt;500000, Table1[[#This Row],[Salary]]&lt;=800000), "Medium (501k-800k)", AND(Table1[[#This Row],[Salary]]&gt;800000, Table1[[#This Row],[Salary]]&lt;1200000), "High (801k - 1.2m)")</f>
        <v>Low (180k-500k)</v>
      </c>
    </row>
    <row r="291" spans="1:20" x14ac:dyDescent="0.2">
      <c r="A291">
        <v>290</v>
      </c>
      <c r="B291" t="s">
        <v>40</v>
      </c>
      <c r="C291" t="s">
        <v>14</v>
      </c>
      <c r="D291">
        <v>29</v>
      </c>
      <c r="E291" t="s">
        <v>15</v>
      </c>
      <c r="F291" t="s">
        <v>22</v>
      </c>
      <c r="G291">
        <v>514763</v>
      </c>
      <c r="H291" t="s">
        <v>124</v>
      </c>
      <c r="J291" t="s">
        <v>18</v>
      </c>
      <c r="K291">
        <v>2</v>
      </c>
      <c r="L291">
        <v>0</v>
      </c>
      <c r="M291">
        <v>92</v>
      </c>
      <c r="N291">
        <f>IF(Table1[[#This Row],[Employment_Status]]="Exited",1,0)</f>
        <v>0</v>
      </c>
      <c r="O291" t="str" cm="1">
        <f t="array" ref="O291">_xlfn.IFS(AND(Table1[[#This Row],[Age]]&gt;=22,Table1[[#This Row],[Age]]&lt;=35),"22-35",AND(Table1[[#This Row],[Age]]&gt;=36,Table1[[#This Row],[Age]]&lt;=45),"36-45",AND(Table1[[#This Row],[Age]]&gt;=46,Table1[[#This Row],[Age]]&lt;=55),"46-55")</f>
        <v>22-35</v>
      </c>
      <c r="P291">
        <f>IF(Table1[[#This Row],[Employment_Status]]="active",1,0)</f>
        <v>1</v>
      </c>
      <c r="Q291">
        <v>1</v>
      </c>
      <c r="R291" s="6">
        <f ca="1">YEARFRAC(Table1[[#This Row],[Hire_Date]],IF(Table1[[#This Row],[Employment_Status]]="Exited",Table1[[#This Row],[Exit_Date]],TODAY()))</f>
        <v>5.9722222222222223</v>
      </c>
      <c r="S291" t="str" cm="1">
        <f t="array" aca="1" ref="S291" ca="1">_xlfn.IFS(AND(Table1[[#This Row],[Tenure]]&gt;=0,Table1[[#This Row],[Tenure]]&lt;=1),"0-1",AND(Table1[[#This Row],[Tenure]]&gt;1,Table1[[#This Row],[Tenure]]&lt;=3),"1-3",AND(Table1[[#This Row],[Tenure]]&gt;3,Table1[[#This Row],[Tenure]]&lt;=5),"3-5",AND(Table1[[#This Row],[Tenure]]&gt;5,Table1[[#This Row],[Tenure]]&lt;=8),"5-8")</f>
        <v>5-8</v>
      </c>
      <c r="T291" t="str" cm="1">
        <f t="array" ref="T291">_xlfn.IFS(AND(Table1[[#This Row],[Salary]]&gt;=180000, Table1[[#This Row],[Salary]] &lt;=500000),"Low (180k-500k)", AND(Table1[[#This Row],[Salary]]&gt;500000, Table1[[#This Row],[Salary]]&lt;=800000), "Medium (501k-800k)", AND(Table1[[#This Row],[Salary]]&gt;800000, Table1[[#This Row],[Salary]]&lt;1200000), "High (801k - 1.2m)")</f>
        <v>Medium (501k-800k)</v>
      </c>
    </row>
    <row r="292" spans="1:20" x14ac:dyDescent="0.2">
      <c r="A292">
        <v>291</v>
      </c>
      <c r="B292" t="s">
        <v>40</v>
      </c>
      <c r="C292" t="s">
        <v>14</v>
      </c>
      <c r="D292">
        <v>35</v>
      </c>
      <c r="E292" t="s">
        <v>15</v>
      </c>
      <c r="F292" t="s">
        <v>16</v>
      </c>
      <c r="G292">
        <v>559288</v>
      </c>
      <c r="H292" t="s">
        <v>351</v>
      </c>
      <c r="I292" t="s">
        <v>352</v>
      </c>
      <c r="J292" t="s">
        <v>55</v>
      </c>
      <c r="K292">
        <v>4</v>
      </c>
      <c r="L292">
        <v>9</v>
      </c>
      <c r="M292">
        <v>99</v>
      </c>
      <c r="N292">
        <f>IF(Table1[[#This Row],[Employment_Status]]="Exited",1,0)</f>
        <v>1</v>
      </c>
      <c r="O292" t="str" cm="1">
        <f t="array" ref="O292">_xlfn.IFS(AND(Table1[[#This Row],[Age]]&gt;=22,Table1[[#This Row],[Age]]&lt;=35),"22-35",AND(Table1[[#This Row],[Age]]&gt;=36,Table1[[#This Row],[Age]]&lt;=45),"36-45",AND(Table1[[#This Row],[Age]]&gt;=46,Table1[[#This Row],[Age]]&lt;=55),"46-55")</f>
        <v>22-35</v>
      </c>
      <c r="P292">
        <f>IF(Table1[[#This Row],[Employment_Status]]="active",1,0)</f>
        <v>0</v>
      </c>
      <c r="Q292">
        <v>1</v>
      </c>
      <c r="R292" s="6">
        <f ca="1">YEARFRAC(Table1[[#This Row],[Hire_Date]],IF(Table1[[#This Row],[Employment_Status]]="Exited",Table1[[#This Row],[Exit_Date]],TODAY()))</f>
        <v>2.8694444444444445</v>
      </c>
      <c r="S292" t="str" cm="1">
        <f t="array" aca="1" ref="S292" ca="1">_xlfn.IFS(AND(Table1[[#This Row],[Tenure]]&gt;=0,Table1[[#This Row],[Tenure]]&lt;=1),"0-1",AND(Table1[[#This Row],[Tenure]]&gt;1,Table1[[#This Row],[Tenure]]&lt;=3),"1-3",AND(Table1[[#This Row],[Tenure]]&gt;3,Table1[[#This Row],[Tenure]]&lt;=5),"3-5",AND(Table1[[#This Row],[Tenure]]&gt;5,Table1[[#This Row],[Tenure]]&lt;=8),"5-8")</f>
        <v>1-3</v>
      </c>
      <c r="T292" t="str" cm="1">
        <f t="array" ref="T292">_xlfn.IFS(AND(Table1[[#This Row],[Salary]]&gt;=180000, Table1[[#This Row],[Salary]] &lt;=500000),"Low (180k-500k)", AND(Table1[[#This Row],[Salary]]&gt;500000, Table1[[#This Row],[Salary]]&lt;=800000), "Medium (501k-800k)", AND(Table1[[#This Row],[Salary]]&gt;800000, Table1[[#This Row],[Salary]]&lt;1200000), "High (801k - 1.2m)")</f>
        <v>Medium (501k-800k)</v>
      </c>
    </row>
    <row r="293" spans="1:20" x14ac:dyDescent="0.2">
      <c r="A293">
        <v>292</v>
      </c>
      <c r="B293" t="s">
        <v>29</v>
      </c>
      <c r="C293" t="s">
        <v>20</v>
      </c>
      <c r="D293">
        <v>26</v>
      </c>
      <c r="E293" t="s">
        <v>45</v>
      </c>
      <c r="F293" t="s">
        <v>27</v>
      </c>
      <c r="G293">
        <v>543140</v>
      </c>
      <c r="H293" t="s">
        <v>353</v>
      </c>
      <c r="J293" t="s">
        <v>18</v>
      </c>
      <c r="K293">
        <v>4</v>
      </c>
      <c r="L293">
        <v>15</v>
      </c>
      <c r="M293">
        <v>96</v>
      </c>
      <c r="N293">
        <f>IF(Table1[[#This Row],[Employment_Status]]="Exited",1,0)</f>
        <v>0</v>
      </c>
      <c r="O293" t="str" cm="1">
        <f t="array" ref="O293">_xlfn.IFS(AND(Table1[[#This Row],[Age]]&gt;=22,Table1[[#This Row],[Age]]&lt;=35),"22-35",AND(Table1[[#This Row],[Age]]&gt;=36,Table1[[#This Row],[Age]]&lt;=45),"36-45",AND(Table1[[#This Row],[Age]]&gt;=46,Table1[[#This Row],[Age]]&lt;=55),"46-55")</f>
        <v>22-35</v>
      </c>
      <c r="P293">
        <f>IF(Table1[[#This Row],[Employment_Status]]="active",1,0)</f>
        <v>1</v>
      </c>
      <c r="Q293">
        <v>1</v>
      </c>
      <c r="R293" s="6">
        <f ca="1">YEARFRAC(Table1[[#This Row],[Hire_Date]],IF(Table1[[#This Row],[Employment_Status]]="Exited",Table1[[#This Row],[Exit_Date]],TODAY()))</f>
        <v>1.9916666666666667</v>
      </c>
      <c r="S293" t="str" cm="1">
        <f t="array" aca="1" ref="S293" ca="1">_xlfn.IFS(AND(Table1[[#This Row],[Tenure]]&gt;=0,Table1[[#This Row],[Tenure]]&lt;=1),"0-1",AND(Table1[[#This Row],[Tenure]]&gt;1,Table1[[#This Row],[Tenure]]&lt;=3),"1-3",AND(Table1[[#This Row],[Tenure]]&gt;3,Table1[[#This Row],[Tenure]]&lt;=5),"3-5",AND(Table1[[#This Row],[Tenure]]&gt;5,Table1[[#This Row],[Tenure]]&lt;=8),"5-8")</f>
        <v>1-3</v>
      </c>
      <c r="T293" t="str" cm="1">
        <f t="array" ref="T293">_xlfn.IFS(AND(Table1[[#This Row],[Salary]]&gt;=180000, Table1[[#This Row],[Salary]] &lt;=500000),"Low (180k-500k)", AND(Table1[[#This Row],[Salary]]&gt;500000, Table1[[#This Row],[Salary]]&lt;=800000), "Medium (501k-800k)", AND(Table1[[#This Row],[Salary]]&gt;800000, Table1[[#This Row],[Salary]]&lt;1200000), "High (801k - 1.2m)")</f>
        <v>Medium (501k-800k)</v>
      </c>
    </row>
    <row r="294" spans="1:20" x14ac:dyDescent="0.2">
      <c r="A294">
        <v>293</v>
      </c>
      <c r="B294" t="s">
        <v>31</v>
      </c>
      <c r="C294" t="s">
        <v>14</v>
      </c>
      <c r="D294">
        <v>55</v>
      </c>
      <c r="E294" t="s">
        <v>15</v>
      </c>
      <c r="F294" t="s">
        <v>34</v>
      </c>
      <c r="G294">
        <v>847514</v>
      </c>
      <c r="H294" t="s">
        <v>354</v>
      </c>
      <c r="J294" t="s">
        <v>18</v>
      </c>
      <c r="K294">
        <v>2</v>
      </c>
      <c r="L294">
        <v>4</v>
      </c>
      <c r="M294">
        <v>99</v>
      </c>
      <c r="N294">
        <f>IF(Table1[[#This Row],[Employment_Status]]="Exited",1,0)</f>
        <v>0</v>
      </c>
      <c r="O294" t="str" cm="1">
        <f t="array" ref="O294">_xlfn.IFS(AND(Table1[[#This Row],[Age]]&gt;=22,Table1[[#This Row],[Age]]&lt;=35),"22-35",AND(Table1[[#This Row],[Age]]&gt;=36,Table1[[#This Row],[Age]]&lt;=45),"36-45",AND(Table1[[#This Row],[Age]]&gt;=46,Table1[[#This Row],[Age]]&lt;=55),"46-55")</f>
        <v>46-55</v>
      </c>
      <c r="P294">
        <f>IF(Table1[[#This Row],[Employment_Status]]="active",1,0)</f>
        <v>1</v>
      </c>
      <c r="Q294">
        <v>1</v>
      </c>
      <c r="R294" s="6">
        <f ca="1">YEARFRAC(Table1[[#This Row],[Hire_Date]],IF(Table1[[#This Row],[Employment_Status]]="Exited",Table1[[#This Row],[Exit_Date]],TODAY()))</f>
        <v>7.2555555555555555</v>
      </c>
      <c r="S294" t="str" cm="1">
        <f t="array" aca="1" ref="S294" ca="1">_xlfn.IFS(AND(Table1[[#This Row],[Tenure]]&gt;=0,Table1[[#This Row],[Tenure]]&lt;=1),"0-1",AND(Table1[[#This Row],[Tenure]]&gt;1,Table1[[#This Row],[Tenure]]&lt;=3),"1-3",AND(Table1[[#This Row],[Tenure]]&gt;3,Table1[[#This Row],[Tenure]]&lt;=5),"3-5",AND(Table1[[#This Row],[Tenure]]&gt;5,Table1[[#This Row],[Tenure]]&lt;=8),"5-8")</f>
        <v>5-8</v>
      </c>
      <c r="T294" t="str" cm="1">
        <f t="array" ref="T294">_xlfn.IFS(AND(Table1[[#This Row],[Salary]]&gt;=180000, Table1[[#This Row],[Salary]] &lt;=500000),"Low (180k-500k)", AND(Table1[[#This Row],[Salary]]&gt;500000, Table1[[#This Row],[Salary]]&lt;=800000), "Medium (501k-800k)", AND(Table1[[#This Row],[Salary]]&gt;800000, Table1[[#This Row],[Salary]]&lt;1200000), "High (801k - 1.2m)")</f>
        <v>High (801k - 1.2m)</v>
      </c>
    </row>
    <row r="295" spans="1:20" x14ac:dyDescent="0.2">
      <c r="A295">
        <v>294</v>
      </c>
      <c r="B295" t="s">
        <v>13</v>
      </c>
      <c r="C295" t="s">
        <v>14</v>
      </c>
      <c r="D295">
        <v>48</v>
      </c>
      <c r="E295" t="s">
        <v>15</v>
      </c>
      <c r="F295" t="s">
        <v>34</v>
      </c>
      <c r="G295">
        <v>433657</v>
      </c>
      <c r="H295" t="s">
        <v>355</v>
      </c>
      <c r="J295" t="s">
        <v>18</v>
      </c>
      <c r="K295">
        <v>3</v>
      </c>
      <c r="L295">
        <v>13</v>
      </c>
      <c r="M295">
        <v>68</v>
      </c>
      <c r="N295">
        <f>IF(Table1[[#This Row],[Employment_Status]]="Exited",1,0)</f>
        <v>0</v>
      </c>
      <c r="O295" t="str" cm="1">
        <f t="array" ref="O295">_xlfn.IFS(AND(Table1[[#This Row],[Age]]&gt;=22,Table1[[#This Row],[Age]]&lt;=35),"22-35",AND(Table1[[#This Row],[Age]]&gt;=36,Table1[[#This Row],[Age]]&lt;=45),"36-45",AND(Table1[[#This Row],[Age]]&gt;=46,Table1[[#This Row],[Age]]&lt;=55),"46-55")</f>
        <v>46-55</v>
      </c>
      <c r="P295">
        <f>IF(Table1[[#This Row],[Employment_Status]]="active",1,0)</f>
        <v>1</v>
      </c>
      <c r="Q295">
        <v>1</v>
      </c>
      <c r="R295" s="6">
        <f ca="1">YEARFRAC(Table1[[#This Row],[Hire_Date]],IF(Table1[[#This Row],[Employment_Status]]="Exited",Table1[[#This Row],[Exit_Date]],TODAY()))</f>
        <v>5.4083333333333332</v>
      </c>
      <c r="S295" t="str" cm="1">
        <f t="array" aca="1" ref="S295" ca="1">_xlfn.IFS(AND(Table1[[#This Row],[Tenure]]&gt;=0,Table1[[#This Row],[Tenure]]&lt;=1),"0-1",AND(Table1[[#This Row],[Tenure]]&gt;1,Table1[[#This Row],[Tenure]]&lt;=3),"1-3",AND(Table1[[#This Row],[Tenure]]&gt;3,Table1[[#This Row],[Tenure]]&lt;=5),"3-5",AND(Table1[[#This Row],[Tenure]]&gt;5,Table1[[#This Row],[Tenure]]&lt;=8),"5-8")</f>
        <v>5-8</v>
      </c>
      <c r="T295" t="str" cm="1">
        <f t="array" ref="T295">_xlfn.IFS(AND(Table1[[#This Row],[Salary]]&gt;=180000, Table1[[#This Row],[Salary]] &lt;=500000),"Low (180k-500k)", AND(Table1[[#This Row],[Salary]]&gt;500000, Table1[[#This Row],[Salary]]&lt;=800000), "Medium (501k-800k)", AND(Table1[[#This Row],[Salary]]&gt;800000, Table1[[#This Row],[Salary]]&lt;1200000), "High (801k - 1.2m)")</f>
        <v>Low (180k-500k)</v>
      </c>
    </row>
    <row r="296" spans="1:20" x14ac:dyDescent="0.2">
      <c r="A296">
        <v>295</v>
      </c>
      <c r="B296" t="s">
        <v>36</v>
      </c>
      <c r="C296" t="s">
        <v>14</v>
      </c>
      <c r="D296">
        <v>39</v>
      </c>
      <c r="E296" t="s">
        <v>15</v>
      </c>
      <c r="F296" t="s">
        <v>22</v>
      </c>
      <c r="G296">
        <v>1036088</v>
      </c>
      <c r="H296" t="s">
        <v>113</v>
      </c>
      <c r="J296" t="s">
        <v>18</v>
      </c>
      <c r="K296">
        <v>2</v>
      </c>
      <c r="L296">
        <v>26</v>
      </c>
      <c r="M296">
        <v>77</v>
      </c>
      <c r="N296">
        <f>IF(Table1[[#This Row],[Employment_Status]]="Exited",1,0)</f>
        <v>0</v>
      </c>
      <c r="O296" t="str" cm="1">
        <f t="array" ref="O296">_xlfn.IFS(AND(Table1[[#This Row],[Age]]&gt;=22,Table1[[#This Row],[Age]]&lt;=35),"22-35",AND(Table1[[#This Row],[Age]]&gt;=36,Table1[[#This Row],[Age]]&lt;=45),"36-45",AND(Table1[[#This Row],[Age]]&gt;=46,Table1[[#This Row],[Age]]&lt;=55),"46-55")</f>
        <v>36-45</v>
      </c>
      <c r="P296">
        <f>IF(Table1[[#This Row],[Employment_Status]]="active",1,0)</f>
        <v>1</v>
      </c>
      <c r="Q296">
        <v>1</v>
      </c>
      <c r="R296" s="6">
        <f ca="1">YEARFRAC(Table1[[#This Row],[Hire_Date]],IF(Table1[[#This Row],[Employment_Status]]="Exited",Table1[[#This Row],[Exit_Date]],TODAY()))</f>
        <v>4.375</v>
      </c>
      <c r="S296" t="str" cm="1">
        <f t="array" aca="1" ref="S296" ca="1">_xlfn.IFS(AND(Table1[[#This Row],[Tenure]]&gt;=0,Table1[[#This Row],[Tenure]]&lt;=1),"0-1",AND(Table1[[#This Row],[Tenure]]&gt;1,Table1[[#This Row],[Tenure]]&lt;=3),"1-3",AND(Table1[[#This Row],[Tenure]]&gt;3,Table1[[#This Row],[Tenure]]&lt;=5),"3-5",AND(Table1[[#This Row],[Tenure]]&gt;5,Table1[[#This Row],[Tenure]]&lt;=8),"5-8")</f>
        <v>3-5</v>
      </c>
      <c r="T296" t="str" cm="1">
        <f t="array" ref="T296">_xlfn.IFS(AND(Table1[[#This Row],[Salary]]&gt;=180000, Table1[[#This Row],[Salary]] &lt;=500000),"Low (180k-500k)", AND(Table1[[#This Row],[Salary]]&gt;500000, Table1[[#This Row],[Salary]]&lt;=800000), "Medium (501k-800k)", AND(Table1[[#This Row],[Salary]]&gt;800000, Table1[[#This Row],[Salary]]&lt;1200000), "High (801k - 1.2m)")</f>
        <v>High (801k - 1.2m)</v>
      </c>
    </row>
    <row r="297" spans="1:20" x14ac:dyDescent="0.2">
      <c r="A297">
        <v>296</v>
      </c>
      <c r="B297" t="s">
        <v>33</v>
      </c>
      <c r="C297" t="s">
        <v>14</v>
      </c>
      <c r="D297">
        <v>48</v>
      </c>
      <c r="E297" t="s">
        <v>21</v>
      </c>
      <c r="F297" t="s">
        <v>16</v>
      </c>
      <c r="G297">
        <v>303024</v>
      </c>
      <c r="H297" t="s">
        <v>356</v>
      </c>
      <c r="J297" t="s">
        <v>18</v>
      </c>
      <c r="K297">
        <v>3</v>
      </c>
      <c r="L297">
        <v>9</v>
      </c>
      <c r="M297">
        <v>97</v>
      </c>
      <c r="N297">
        <f>IF(Table1[[#This Row],[Employment_Status]]="Exited",1,0)</f>
        <v>0</v>
      </c>
      <c r="O297" t="str" cm="1">
        <f t="array" ref="O297">_xlfn.IFS(AND(Table1[[#This Row],[Age]]&gt;=22,Table1[[#This Row],[Age]]&lt;=35),"22-35",AND(Table1[[#This Row],[Age]]&gt;=36,Table1[[#This Row],[Age]]&lt;=45),"36-45",AND(Table1[[#This Row],[Age]]&gt;=46,Table1[[#This Row],[Age]]&lt;=55),"46-55")</f>
        <v>46-55</v>
      </c>
      <c r="P297">
        <f>IF(Table1[[#This Row],[Employment_Status]]="active",1,0)</f>
        <v>1</v>
      </c>
      <c r="Q297">
        <v>1</v>
      </c>
      <c r="R297" s="6">
        <f ca="1">YEARFRAC(Table1[[#This Row],[Hire_Date]],IF(Table1[[#This Row],[Employment_Status]]="Exited",Table1[[#This Row],[Exit_Date]],TODAY()))</f>
        <v>5.7388888888888889</v>
      </c>
      <c r="S297" t="str" cm="1">
        <f t="array" aca="1" ref="S297" ca="1">_xlfn.IFS(AND(Table1[[#This Row],[Tenure]]&gt;=0,Table1[[#This Row],[Tenure]]&lt;=1),"0-1",AND(Table1[[#This Row],[Tenure]]&gt;1,Table1[[#This Row],[Tenure]]&lt;=3),"1-3",AND(Table1[[#This Row],[Tenure]]&gt;3,Table1[[#This Row],[Tenure]]&lt;=5),"3-5",AND(Table1[[#This Row],[Tenure]]&gt;5,Table1[[#This Row],[Tenure]]&lt;=8),"5-8")</f>
        <v>5-8</v>
      </c>
      <c r="T297" t="str" cm="1">
        <f t="array" ref="T297">_xlfn.IFS(AND(Table1[[#This Row],[Salary]]&gt;=180000, Table1[[#This Row],[Salary]] &lt;=500000),"Low (180k-500k)", AND(Table1[[#This Row],[Salary]]&gt;500000, Table1[[#This Row],[Salary]]&lt;=800000), "Medium (501k-800k)", AND(Table1[[#This Row],[Salary]]&gt;800000, Table1[[#This Row],[Salary]]&lt;1200000), "High (801k - 1.2m)")</f>
        <v>Low (180k-500k)</v>
      </c>
    </row>
    <row r="298" spans="1:20" x14ac:dyDescent="0.2">
      <c r="A298">
        <v>297</v>
      </c>
      <c r="B298" t="s">
        <v>26</v>
      </c>
      <c r="C298" t="s">
        <v>20</v>
      </c>
      <c r="D298">
        <v>24</v>
      </c>
      <c r="E298" t="s">
        <v>21</v>
      </c>
      <c r="F298" t="s">
        <v>27</v>
      </c>
      <c r="G298">
        <v>392959</v>
      </c>
      <c r="H298" t="s">
        <v>316</v>
      </c>
      <c r="J298" t="s">
        <v>18</v>
      </c>
      <c r="K298">
        <v>3</v>
      </c>
      <c r="L298">
        <v>17</v>
      </c>
      <c r="M298">
        <v>99</v>
      </c>
      <c r="N298">
        <f>IF(Table1[[#This Row],[Employment_Status]]="Exited",1,0)</f>
        <v>0</v>
      </c>
      <c r="O298" t="str" cm="1">
        <f t="array" ref="O298">_xlfn.IFS(AND(Table1[[#This Row],[Age]]&gt;=22,Table1[[#This Row],[Age]]&lt;=35),"22-35",AND(Table1[[#This Row],[Age]]&gt;=36,Table1[[#This Row],[Age]]&lt;=45),"36-45",AND(Table1[[#This Row],[Age]]&gt;=46,Table1[[#This Row],[Age]]&lt;=55),"46-55")</f>
        <v>22-35</v>
      </c>
      <c r="P298">
        <f>IF(Table1[[#This Row],[Employment_Status]]="active",1,0)</f>
        <v>1</v>
      </c>
      <c r="Q298">
        <v>1</v>
      </c>
      <c r="R298" s="6">
        <f ca="1">YEARFRAC(Table1[[#This Row],[Hire_Date]],IF(Table1[[#This Row],[Employment_Status]]="Exited",Table1[[#This Row],[Exit_Date]],TODAY()))</f>
        <v>6.5861111111111112</v>
      </c>
      <c r="S298" t="str" cm="1">
        <f t="array" aca="1" ref="S298" ca="1">_xlfn.IFS(AND(Table1[[#This Row],[Tenure]]&gt;=0,Table1[[#This Row],[Tenure]]&lt;=1),"0-1",AND(Table1[[#This Row],[Tenure]]&gt;1,Table1[[#This Row],[Tenure]]&lt;=3),"1-3",AND(Table1[[#This Row],[Tenure]]&gt;3,Table1[[#This Row],[Tenure]]&lt;=5),"3-5",AND(Table1[[#This Row],[Tenure]]&gt;5,Table1[[#This Row],[Tenure]]&lt;=8),"5-8")</f>
        <v>5-8</v>
      </c>
      <c r="T298" t="str" cm="1">
        <f t="array" ref="T298">_xlfn.IFS(AND(Table1[[#This Row],[Salary]]&gt;=180000, Table1[[#This Row],[Salary]] &lt;=500000),"Low (180k-500k)", AND(Table1[[#This Row],[Salary]]&gt;500000, Table1[[#This Row],[Salary]]&lt;=800000), "Medium (501k-800k)", AND(Table1[[#This Row],[Salary]]&gt;800000, Table1[[#This Row],[Salary]]&lt;1200000), "High (801k - 1.2m)")</f>
        <v>Low (180k-500k)</v>
      </c>
    </row>
    <row r="299" spans="1:20" x14ac:dyDescent="0.2">
      <c r="A299">
        <v>298</v>
      </c>
      <c r="B299" t="s">
        <v>13</v>
      </c>
      <c r="C299" t="s">
        <v>20</v>
      </c>
      <c r="D299">
        <v>44</v>
      </c>
      <c r="E299" t="s">
        <v>61</v>
      </c>
      <c r="F299" t="s">
        <v>16</v>
      </c>
      <c r="G299">
        <v>317610</v>
      </c>
      <c r="H299" t="s">
        <v>357</v>
      </c>
      <c r="I299" t="s">
        <v>358</v>
      </c>
      <c r="J299" t="s">
        <v>55</v>
      </c>
      <c r="K299">
        <v>2</v>
      </c>
      <c r="L299">
        <v>24</v>
      </c>
      <c r="M299">
        <v>90</v>
      </c>
      <c r="N299">
        <f>IF(Table1[[#This Row],[Employment_Status]]="Exited",1,0)</f>
        <v>1</v>
      </c>
      <c r="O299" t="str" cm="1">
        <f t="array" ref="O299">_xlfn.IFS(AND(Table1[[#This Row],[Age]]&gt;=22,Table1[[#This Row],[Age]]&lt;=35),"22-35",AND(Table1[[#This Row],[Age]]&gt;=36,Table1[[#This Row],[Age]]&lt;=45),"36-45",AND(Table1[[#This Row],[Age]]&gt;=46,Table1[[#This Row],[Age]]&lt;=55),"46-55")</f>
        <v>36-45</v>
      </c>
      <c r="P299">
        <f>IF(Table1[[#This Row],[Employment_Status]]="active",1,0)</f>
        <v>0</v>
      </c>
      <c r="Q299">
        <v>1</v>
      </c>
      <c r="R299" s="6">
        <f ca="1">YEARFRAC(Table1[[#This Row],[Hire_Date]],IF(Table1[[#This Row],[Employment_Status]]="Exited",Table1[[#This Row],[Exit_Date]],TODAY()))</f>
        <v>1.4888888888888889</v>
      </c>
      <c r="S299" t="str" cm="1">
        <f t="array" aca="1" ref="S299" ca="1">_xlfn.IFS(AND(Table1[[#This Row],[Tenure]]&gt;=0,Table1[[#This Row],[Tenure]]&lt;=1),"0-1",AND(Table1[[#This Row],[Tenure]]&gt;1,Table1[[#This Row],[Tenure]]&lt;=3),"1-3",AND(Table1[[#This Row],[Tenure]]&gt;3,Table1[[#This Row],[Tenure]]&lt;=5),"3-5",AND(Table1[[#This Row],[Tenure]]&gt;5,Table1[[#This Row],[Tenure]]&lt;=8),"5-8")</f>
        <v>1-3</v>
      </c>
      <c r="T299" t="str" cm="1">
        <f t="array" ref="T299">_xlfn.IFS(AND(Table1[[#This Row],[Salary]]&gt;=180000, Table1[[#This Row],[Salary]] &lt;=500000),"Low (180k-500k)", AND(Table1[[#This Row],[Salary]]&gt;500000, Table1[[#This Row],[Salary]]&lt;=800000), "Medium (501k-800k)", AND(Table1[[#This Row],[Salary]]&gt;800000, Table1[[#This Row],[Salary]]&lt;1200000), "High (801k - 1.2m)")</f>
        <v>Low (180k-500k)</v>
      </c>
    </row>
    <row r="300" spans="1:20" x14ac:dyDescent="0.2">
      <c r="A300">
        <v>299</v>
      </c>
      <c r="B300" t="s">
        <v>40</v>
      </c>
      <c r="C300" t="s">
        <v>14</v>
      </c>
      <c r="D300">
        <v>23</v>
      </c>
      <c r="E300" t="s">
        <v>15</v>
      </c>
      <c r="F300" t="s">
        <v>22</v>
      </c>
      <c r="G300">
        <v>1052265</v>
      </c>
      <c r="H300" t="s">
        <v>359</v>
      </c>
      <c r="J300" t="s">
        <v>18</v>
      </c>
      <c r="K300">
        <v>3</v>
      </c>
      <c r="L300">
        <v>46</v>
      </c>
      <c r="M300">
        <v>81</v>
      </c>
      <c r="N300">
        <f>IF(Table1[[#This Row],[Employment_Status]]="Exited",1,0)</f>
        <v>0</v>
      </c>
      <c r="O300" t="str" cm="1">
        <f t="array" ref="O300">_xlfn.IFS(AND(Table1[[#This Row],[Age]]&gt;=22,Table1[[#This Row],[Age]]&lt;=35),"22-35",AND(Table1[[#This Row],[Age]]&gt;=36,Table1[[#This Row],[Age]]&lt;=45),"36-45",AND(Table1[[#This Row],[Age]]&gt;=46,Table1[[#This Row],[Age]]&lt;=55),"46-55")</f>
        <v>22-35</v>
      </c>
      <c r="P300">
        <f>IF(Table1[[#This Row],[Employment_Status]]="active",1,0)</f>
        <v>1</v>
      </c>
      <c r="Q300">
        <v>1</v>
      </c>
      <c r="R300" s="6">
        <f ca="1">YEARFRAC(Table1[[#This Row],[Hire_Date]],IF(Table1[[#This Row],[Employment_Status]]="Exited",Table1[[#This Row],[Exit_Date]],TODAY()))</f>
        <v>3.713888888888889</v>
      </c>
      <c r="S300" t="str" cm="1">
        <f t="array" aca="1" ref="S300" ca="1">_xlfn.IFS(AND(Table1[[#This Row],[Tenure]]&gt;=0,Table1[[#This Row],[Tenure]]&lt;=1),"0-1",AND(Table1[[#This Row],[Tenure]]&gt;1,Table1[[#This Row],[Tenure]]&lt;=3),"1-3",AND(Table1[[#This Row],[Tenure]]&gt;3,Table1[[#This Row],[Tenure]]&lt;=5),"3-5",AND(Table1[[#This Row],[Tenure]]&gt;5,Table1[[#This Row],[Tenure]]&lt;=8),"5-8")</f>
        <v>3-5</v>
      </c>
      <c r="T300" t="str" cm="1">
        <f t="array" ref="T300">_xlfn.IFS(AND(Table1[[#This Row],[Salary]]&gt;=180000, Table1[[#This Row],[Salary]] &lt;=500000),"Low (180k-500k)", AND(Table1[[#This Row],[Salary]]&gt;500000, Table1[[#This Row],[Salary]]&lt;=800000), "Medium (501k-800k)", AND(Table1[[#This Row],[Salary]]&gt;800000, Table1[[#This Row],[Salary]]&lt;1200000), "High (801k - 1.2m)")</f>
        <v>High (801k - 1.2m)</v>
      </c>
    </row>
    <row r="301" spans="1:20" x14ac:dyDescent="0.2">
      <c r="A301">
        <v>300</v>
      </c>
      <c r="B301" t="s">
        <v>58</v>
      </c>
      <c r="C301" t="s">
        <v>20</v>
      </c>
      <c r="D301">
        <v>46</v>
      </c>
      <c r="E301" t="s">
        <v>21</v>
      </c>
      <c r="F301" t="s">
        <v>22</v>
      </c>
      <c r="G301">
        <v>538388</v>
      </c>
      <c r="H301" t="s">
        <v>360</v>
      </c>
      <c r="J301" t="s">
        <v>18</v>
      </c>
      <c r="K301">
        <v>3</v>
      </c>
      <c r="L301">
        <v>49</v>
      </c>
      <c r="M301">
        <v>77</v>
      </c>
      <c r="N301">
        <f>IF(Table1[[#This Row],[Employment_Status]]="Exited",1,0)</f>
        <v>0</v>
      </c>
      <c r="O301" t="str" cm="1">
        <f t="array" ref="O301">_xlfn.IFS(AND(Table1[[#This Row],[Age]]&gt;=22,Table1[[#This Row],[Age]]&lt;=35),"22-35",AND(Table1[[#This Row],[Age]]&gt;=36,Table1[[#This Row],[Age]]&lt;=45),"36-45",AND(Table1[[#This Row],[Age]]&gt;=46,Table1[[#This Row],[Age]]&lt;=55),"46-55")</f>
        <v>46-55</v>
      </c>
      <c r="P301">
        <f>IF(Table1[[#This Row],[Employment_Status]]="active",1,0)</f>
        <v>1</v>
      </c>
      <c r="Q301">
        <v>1</v>
      </c>
      <c r="R301" s="6">
        <f ca="1">YEARFRAC(Table1[[#This Row],[Hire_Date]],IF(Table1[[#This Row],[Employment_Status]]="Exited",Table1[[#This Row],[Exit_Date]],TODAY()))</f>
        <v>7.2222222222222223</v>
      </c>
      <c r="S301" t="str" cm="1">
        <f t="array" aca="1" ref="S301" ca="1">_xlfn.IFS(AND(Table1[[#This Row],[Tenure]]&gt;=0,Table1[[#This Row],[Tenure]]&lt;=1),"0-1",AND(Table1[[#This Row],[Tenure]]&gt;1,Table1[[#This Row],[Tenure]]&lt;=3),"1-3",AND(Table1[[#This Row],[Tenure]]&gt;3,Table1[[#This Row],[Tenure]]&lt;=5),"3-5",AND(Table1[[#This Row],[Tenure]]&gt;5,Table1[[#This Row],[Tenure]]&lt;=8),"5-8")</f>
        <v>5-8</v>
      </c>
      <c r="T301" t="str" cm="1">
        <f t="array" ref="T301">_xlfn.IFS(AND(Table1[[#This Row],[Salary]]&gt;=180000, Table1[[#This Row],[Salary]] &lt;=500000),"Low (180k-500k)", AND(Table1[[#This Row],[Salary]]&gt;500000, Table1[[#This Row],[Salary]]&lt;=800000), "Medium (501k-800k)", AND(Table1[[#This Row],[Salary]]&gt;800000, Table1[[#This Row],[Salary]]&lt;1200000), "High (801k - 1.2m)")</f>
        <v>Medium (501k-800k)</v>
      </c>
    </row>
    <row r="302" spans="1:20" x14ac:dyDescent="0.2">
      <c r="A302">
        <v>301</v>
      </c>
      <c r="B302" t="s">
        <v>31</v>
      </c>
      <c r="C302" t="s">
        <v>14</v>
      </c>
      <c r="D302">
        <v>52</v>
      </c>
      <c r="E302" t="s">
        <v>21</v>
      </c>
      <c r="F302" t="s">
        <v>16</v>
      </c>
      <c r="G302">
        <v>318145</v>
      </c>
      <c r="H302" t="s">
        <v>182</v>
      </c>
      <c r="J302" t="s">
        <v>18</v>
      </c>
      <c r="K302">
        <v>2</v>
      </c>
      <c r="L302">
        <v>25</v>
      </c>
      <c r="M302">
        <v>82</v>
      </c>
      <c r="N302">
        <f>IF(Table1[[#This Row],[Employment_Status]]="Exited",1,0)</f>
        <v>0</v>
      </c>
      <c r="O302" t="str" cm="1">
        <f t="array" ref="O302">_xlfn.IFS(AND(Table1[[#This Row],[Age]]&gt;=22,Table1[[#This Row],[Age]]&lt;=35),"22-35",AND(Table1[[#This Row],[Age]]&gt;=36,Table1[[#This Row],[Age]]&lt;=45),"36-45",AND(Table1[[#This Row],[Age]]&gt;=46,Table1[[#This Row],[Age]]&lt;=55),"46-55")</f>
        <v>46-55</v>
      </c>
      <c r="P302">
        <f>IF(Table1[[#This Row],[Employment_Status]]="active",1,0)</f>
        <v>1</v>
      </c>
      <c r="Q302">
        <v>1</v>
      </c>
      <c r="R302" s="6">
        <f ca="1">YEARFRAC(Table1[[#This Row],[Hire_Date]],IF(Table1[[#This Row],[Employment_Status]]="Exited",Table1[[#This Row],[Exit_Date]],TODAY()))</f>
        <v>2.0833333333333335</v>
      </c>
      <c r="S302" t="str" cm="1">
        <f t="array" aca="1" ref="S302" ca="1">_xlfn.IFS(AND(Table1[[#This Row],[Tenure]]&gt;=0,Table1[[#This Row],[Tenure]]&lt;=1),"0-1",AND(Table1[[#This Row],[Tenure]]&gt;1,Table1[[#This Row],[Tenure]]&lt;=3),"1-3",AND(Table1[[#This Row],[Tenure]]&gt;3,Table1[[#This Row],[Tenure]]&lt;=5),"3-5",AND(Table1[[#This Row],[Tenure]]&gt;5,Table1[[#This Row],[Tenure]]&lt;=8),"5-8")</f>
        <v>1-3</v>
      </c>
      <c r="T302" t="str" cm="1">
        <f t="array" ref="T302">_xlfn.IFS(AND(Table1[[#This Row],[Salary]]&gt;=180000, Table1[[#This Row],[Salary]] &lt;=500000),"Low (180k-500k)", AND(Table1[[#This Row],[Salary]]&gt;500000, Table1[[#This Row],[Salary]]&lt;=800000), "Medium (501k-800k)", AND(Table1[[#This Row],[Salary]]&gt;800000, Table1[[#This Row],[Salary]]&lt;1200000), "High (801k - 1.2m)")</f>
        <v>Low (180k-500k)</v>
      </c>
    </row>
    <row r="303" spans="1:20" x14ac:dyDescent="0.2">
      <c r="A303">
        <v>302</v>
      </c>
      <c r="B303" t="s">
        <v>58</v>
      </c>
      <c r="C303" t="s">
        <v>14</v>
      </c>
      <c r="D303">
        <v>26</v>
      </c>
      <c r="E303" t="s">
        <v>21</v>
      </c>
      <c r="F303" t="s">
        <v>34</v>
      </c>
      <c r="G303">
        <v>348028</v>
      </c>
      <c r="H303" t="s">
        <v>361</v>
      </c>
      <c r="J303" t="s">
        <v>18</v>
      </c>
      <c r="K303">
        <v>3</v>
      </c>
      <c r="L303">
        <v>6</v>
      </c>
      <c r="M303">
        <v>69</v>
      </c>
      <c r="N303">
        <f>IF(Table1[[#This Row],[Employment_Status]]="Exited",1,0)</f>
        <v>0</v>
      </c>
      <c r="O303" t="str" cm="1">
        <f t="array" ref="O303">_xlfn.IFS(AND(Table1[[#This Row],[Age]]&gt;=22,Table1[[#This Row],[Age]]&lt;=35),"22-35",AND(Table1[[#This Row],[Age]]&gt;=36,Table1[[#This Row],[Age]]&lt;=45),"36-45",AND(Table1[[#This Row],[Age]]&gt;=46,Table1[[#This Row],[Age]]&lt;=55),"46-55")</f>
        <v>22-35</v>
      </c>
      <c r="P303">
        <f>IF(Table1[[#This Row],[Employment_Status]]="active",1,0)</f>
        <v>1</v>
      </c>
      <c r="Q303">
        <v>1</v>
      </c>
      <c r="R303" s="6">
        <f ca="1">YEARFRAC(Table1[[#This Row],[Hire_Date]],IF(Table1[[#This Row],[Employment_Status]]="Exited",Table1[[#This Row],[Exit_Date]],TODAY()))</f>
        <v>6.1916666666666664</v>
      </c>
      <c r="S303" t="str" cm="1">
        <f t="array" aca="1" ref="S303" ca="1">_xlfn.IFS(AND(Table1[[#This Row],[Tenure]]&gt;=0,Table1[[#This Row],[Tenure]]&lt;=1),"0-1",AND(Table1[[#This Row],[Tenure]]&gt;1,Table1[[#This Row],[Tenure]]&lt;=3),"1-3",AND(Table1[[#This Row],[Tenure]]&gt;3,Table1[[#This Row],[Tenure]]&lt;=5),"3-5",AND(Table1[[#This Row],[Tenure]]&gt;5,Table1[[#This Row],[Tenure]]&lt;=8),"5-8")</f>
        <v>5-8</v>
      </c>
      <c r="T303" t="str" cm="1">
        <f t="array" ref="T303">_xlfn.IFS(AND(Table1[[#This Row],[Salary]]&gt;=180000, Table1[[#This Row],[Salary]] &lt;=500000),"Low (180k-500k)", AND(Table1[[#This Row],[Salary]]&gt;500000, Table1[[#This Row],[Salary]]&lt;=800000), "Medium (501k-800k)", AND(Table1[[#This Row],[Salary]]&gt;800000, Table1[[#This Row],[Salary]]&lt;1200000), "High (801k - 1.2m)")</f>
        <v>Low (180k-500k)</v>
      </c>
    </row>
    <row r="304" spans="1:20" x14ac:dyDescent="0.2">
      <c r="A304">
        <v>303</v>
      </c>
      <c r="B304" t="s">
        <v>31</v>
      </c>
      <c r="C304" t="s">
        <v>14</v>
      </c>
      <c r="D304">
        <v>35</v>
      </c>
      <c r="E304" t="s">
        <v>21</v>
      </c>
      <c r="F304" t="s">
        <v>27</v>
      </c>
      <c r="G304">
        <v>363809</v>
      </c>
      <c r="H304" t="s">
        <v>362</v>
      </c>
      <c r="I304" t="s">
        <v>363</v>
      </c>
      <c r="J304" t="s">
        <v>55</v>
      </c>
      <c r="K304">
        <v>4</v>
      </c>
      <c r="L304">
        <v>24</v>
      </c>
      <c r="M304">
        <v>96</v>
      </c>
      <c r="N304">
        <f>IF(Table1[[#This Row],[Employment_Status]]="Exited",1,0)</f>
        <v>1</v>
      </c>
      <c r="O304" t="str" cm="1">
        <f t="array" ref="O304">_xlfn.IFS(AND(Table1[[#This Row],[Age]]&gt;=22,Table1[[#This Row],[Age]]&lt;=35),"22-35",AND(Table1[[#This Row],[Age]]&gt;=36,Table1[[#This Row],[Age]]&lt;=45),"36-45",AND(Table1[[#This Row],[Age]]&gt;=46,Table1[[#This Row],[Age]]&lt;=55),"46-55")</f>
        <v>22-35</v>
      </c>
      <c r="P304">
        <f>IF(Table1[[#This Row],[Employment_Status]]="active",1,0)</f>
        <v>0</v>
      </c>
      <c r="Q304">
        <v>1</v>
      </c>
      <c r="R304" s="6">
        <f ca="1">YEARFRAC(Table1[[#This Row],[Hire_Date]],IF(Table1[[#This Row],[Employment_Status]]="Exited",Table1[[#This Row],[Exit_Date]],TODAY()))</f>
        <v>0.59444444444444444</v>
      </c>
      <c r="S304" t="str" cm="1">
        <f t="array" aca="1" ref="S304" ca="1">_xlfn.IFS(AND(Table1[[#This Row],[Tenure]]&gt;=0,Table1[[#This Row],[Tenure]]&lt;=1),"0-1",AND(Table1[[#This Row],[Tenure]]&gt;1,Table1[[#This Row],[Tenure]]&lt;=3),"1-3",AND(Table1[[#This Row],[Tenure]]&gt;3,Table1[[#This Row],[Tenure]]&lt;=5),"3-5",AND(Table1[[#This Row],[Tenure]]&gt;5,Table1[[#This Row],[Tenure]]&lt;=8),"5-8")</f>
        <v>0-1</v>
      </c>
      <c r="T304" t="str" cm="1">
        <f t="array" ref="T304">_xlfn.IFS(AND(Table1[[#This Row],[Salary]]&gt;=180000, Table1[[#This Row],[Salary]] &lt;=500000),"Low (180k-500k)", AND(Table1[[#This Row],[Salary]]&gt;500000, Table1[[#This Row],[Salary]]&lt;=800000), "Medium (501k-800k)", AND(Table1[[#This Row],[Salary]]&gt;800000, Table1[[#This Row],[Salary]]&lt;1200000), "High (801k - 1.2m)")</f>
        <v>Low (180k-500k)</v>
      </c>
    </row>
    <row r="305" spans="1:20" x14ac:dyDescent="0.2">
      <c r="A305">
        <v>304</v>
      </c>
      <c r="B305" t="s">
        <v>26</v>
      </c>
      <c r="C305" t="s">
        <v>20</v>
      </c>
      <c r="D305">
        <v>55</v>
      </c>
      <c r="E305" t="s">
        <v>49</v>
      </c>
      <c r="F305" t="s">
        <v>22</v>
      </c>
      <c r="G305">
        <v>515955</v>
      </c>
      <c r="H305" t="s">
        <v>364</v>
      </c>
      <c r="J305" t="s">
        <v>18</v>
      </c>
      <c r="K305">
        <v>4</v>
      </c>
      <c r="L305">
        <v>46</v>
      </c>
      <c r="M305">
        <v>80</v>
      </c>
      <c r="N305">
        <f>IF(Table1[[#This Row],[Employment_Status]]="Exited",1,0)</f>
        <v>0</v>
      </c>
      <c r="O305" t="str" cm="1">
        <f t="array" ref="O305">_xlfn.IFS(AND(Table1[[#This Row],[Age]]&gt;=22,Table1[[#This Row],[Age]]&lt;=35),"22-35",AND(Table1[[#This Row],[Age]]&gt;=36,Table1[[#This Row],[Age]]&lt;=45),"36-45",AND(Table1[[#This Row],[Age]]&gt;=46,Table1[[#This Row],[Age]]&lt;=55),"46-55")</f>
        <v>46-55</v>
      </c>
      <c r="P305">
        <f>IF(Table1[[#This Row],[Employment_Status]]="active",1,0)</f>
        <v>1</v>
      </c>
      <c r="Q305">
        <v>1</v>
      </c>
      <c r="R305" s="6">
        <f ca="1">YEARFRAC(Table1[[#This Row],[Hire_Date]],IF(Table1[[#This Row],[Employment_Status]]="Exited",Table1[[#This Row],[Exit_Date]],TODAY()))</f>
        <v>5.2694444444444448</v>
      </c>
      <c r="S305" t="str" cm="1">
        <f t="array" aca="1" ref="S305" ca="1">_xlfn.IFS(AND(Table1[[#This Row],[Tenure]]&gt;=0,Table1[[#This Row],[Tenure]]&lt;=1),"0-1",AND(Table1[[#This Row],[Tenure]]&gt;1,Table1[[#This Row],[Tenure]]&lt;=3),"1-3",AND(Table1[[#This Row],[Tenure]]&gt;3,Table1[[#This Row],[Tenure]]&lt;=5),"3-5",AND(Table1[[#This Row],[Tenure]]&gt;5,Table1[[#This Row],[Tenure]]&lt;=8),"5-8")</f>
        <v>5-8</v>
      </c>
      <c r="T305" t="str" cm="1">
        <f t="array" ref="T305">_xlfn.IFS(AND(Table1[[#This Row],[Salary]]&gt;=180000, Table1[[#This Row],[Salary]] &lt;=500000),"Low (180k-500k)", AND(Table1[[#This Row],[Salary]]&gt;500000, Table1[[#This Row],[Salary]]&lt;=800000), "Medium (501k-800k)", AND(Table1[[#This Row],[Salary]]&gt;800000, Table1[[#This Row],[Salary]]&lt;1200000), "High (801k - 1.2m)")</f>
        <v>Medium (501k-800k)</v>
      </c>
    </row>
    <row r="306" spans="1:20" x14ac:dyDescent="0.2">
      <c r="A306">
        <v>305</v>
      </c>
      <c r="B306" t="s">
        <v>26</v>
      </c>
      <c r="C306" t="s">
        <v>14</v>
      </c>
      <c r="D306">
        <v>46</v>
      </c>
      <c r="E306" t="s">
        <v>15</v>
      </c>
      <c r="F306" t="s">
        <v>22</v>
      </c>
      <c r="G306">
        <v>1132849</v>
      </c>
      <c r="H306" t="s">
        <v>324</v>
      </c>
      <c r="J306" t="s">
        <v>18</v>
      </c>
      <c r="K306">
        <v>2</v>
      </c>
      <c r="L306">
        <v>25</v>
      </c>
      <c r="M306">
        <v>73</v>
      </c>
      <c r="N306">
        <f>IF(Table1[[#This Row],[Employment_Status]]="Exited",1,0)</f>
        <v>0</v>
      </c>
      <c r="O306" t="str" cm="1">
        <f t="array" ref="O306">_xlfn.IFS(AND(Table1[[#This Row],[Age]]&gt;=22,Table1[[#This Row],[Age]]&lt;=35),"22-35",AND(Table1[[#This Row],[Age]]&gt;=36,Table1[[#This Row],[Age]]&lt;=45),"36-45",AND(Table1[[#This Row],[Age]]&gt;=46,Table1[[#This Row],[Age]]&lt;=55),"46-55")</f>
        <v>46-55</v>
      </c>
      <c r="P306">
        <f>IF(Table1[[#This Row],[Employment_Status]]="active",1,0)</f>
        <v>1</v>
      </c>
      <c r="Q306">
        <v>1</v>
      </c>
      <c r="R306" s="6">
        <f ca="1">YEARFRAC(Table1[[#This Row],[Hire_Date]],IF(Table1[[#This Row],[Employment_Status]]="Exited",Table1[[#This Row],[Exit_Date]],TODAY()))</f>
        <v>3.4138888888888888</v>
      </c>
      <c r="S306" t="str" cm="1">
        <f t="array" aca="1" ref="S306" ca="1">_xlfn.IFS(AND(Table1[[#This Row],[Tenure]]&gt;=0,Table1[[#This Row],[Tenure]]&lt;=1),"0-1",AND(Table1[[#This Row],[Tenure]]&gt;1,Table1[[#This Row],[Tenure]]&lt;=3),"1-3",AND(Table1[[#This Row],[Tenure]]&gt;3,Table1[[#This Row],[Tenure]]&lt;=5),"3-5",AND(Table1[[#This Row],[Tenure]]&gt;5,Table1[[#This Row],[Tenure]]&lt;=8),"5-8")</f>
        <v>3-5</v>
      </c>
      <c r="T306" t="str" cm="1">
        <f t="array" ref="T306">_xlfn.IFS(AND(Table1[[#This Row],[Salary]]&gt;=180000, Table1[[#This Row],[Salary]] &lt;=500000),"Low (180k-500k)", AND(Table1[[#This Row],[Salary]]&gt;500000, Table1[[#This Row],[Salary]]&lt;=800000), "Medium (501k-800k)", AND(Table1[[#This Row],[Salary]]&gt;800000, Table1[[#This Row],[Salary]]&lt;1200000), "High (801k - 1.2m)")</f>
        <v>High (801k - 1.2m)</v>
      </c>
    </row>
    <row r="307" spans="1:20" x14ac:dyDescent="0.2">
      <c r="A307">
        <v>306</v>
      </c>
      <c r="B307" t="s">
        <v>31</v>
      </c>
      <c r="C307" t="s">
        <v>20</v>
      </c>
      <c r="D307">
        <v>31</v>
      </c>
      <c r="E307" t="s">
        <v>49</v>
      </c>
      <c r="F307" t="s">
        <v>16</v>
      </c>
      <c r="G307">
        <v>371123</v>
      </c>
      <c r="H307" t="s">
        <v>365</v>
      </c>
      <c r="J307" t="s">
        <v>18</v>
      </c>
      <c r="K307">
        <v>4</v>
      </c>
      <c r="L307">
        <v>39</v>
      </c>
      <c r="M307">
        <v>92</v>
      </c>
      <c r="N307">
        <f>IF(Table1[[#This Row],[Employment_Status]]="Exited",1,0)</f>
        <v>0</v>
      </c>
      <c r="O307" t="str" cm="1">
        <f t="array" ref="O307">_xlfn.IFS(AND(Table1[[#This Row],[Age]]&gt;=22,Table1[[#This Row],[Age]]&lt;=35),"22-35",AND(Table1[[#This Row],[Age]]&gt;=36,Table1[[#This Row],[Age]]&lt;=45),"36-45",AND(Table1[[#This Row],[Age]]&gt;=46,Table1[[#This Row],[Age]]&lt;=55),"46-55")</f>
        <v>22-35</v>
      </c>
      <c r="P307">
        <f>IF(Table1[[#This Row],[Employment_Status]]="active",1,0)</f>
        <v>1</v>
      </c>
      <c r="Q307">
        <v>1</v>
      </c>
      <c r="R307" s="6">
        <f ca="1">YEARFRAC(Table1[[#This Row],[Hire_Date]],IF(Table1[[#This Row],[Employment_Status]]="Exited",Table1[[#This Row],[Exit_Date]],TODAY()))</f>
        <v>2.2083333333333335</v>
      </c>
      <c r="S307" t="str" cm="1">
        <f t="array" aca="1" ref="S307" ca="1">_xlfn.IFS(AND(Table1[[#This Row],[Tenure]]&gt;=0,Table1[[#This Row],[Tenure]]&lt;=1),"0-1",AND(Table1[[#This Row],[Tenure]]&gt;1,Table1[[#This Row],[Tenure]]&lt;=3),"1-3",AND(Table1[[#This Row],[Tenure]]&gt;3,Table1[[#This Row],[Tenure]]&lt;=5),"3-5",AND(Table1[[#This Row],[Tenure]]&gt;5,Table1[[#This Row],[Tenure]]&lt;=8),"5-8")</f>
        <v>1-3</v>
      </c>
      <c r="T307" t="str" cm="1">
        <f t="array" ref="T307">_xlfn.IFS(AND(Table1[[#This Row],[Salary]]&gt;=180000, Table1[[#This Row],[Salary]] &lt;=500000),"Low (180k-500k)", AND(Table1[[#This Row],[Salary]]&gt;500000, Table1[[#This Row],[Salary]]&lt;=800000), "Medium (501k-800k)", AND(Table1[[#This Row],[Salary]]&gt;800000, Table1[[#This Row],[Salary]]&lt;1200000), "High (801k - 1.2m)")</f>
        <v>Low (180k-500k)</v>
      </c>
    </row>
    <row r="308" spans="1:20" x14ac:dyDescent="0.2">
      <c r="A308">
        <v>307</v>
      </c>
      <c r="B308" t="s">
        <v>33</v>
      </c>
      <c r="C308" t="s">
        <v>20</v>
      </c>
      <c r="D308">
        <v>35</v>
      </c>
      <c r="E308" t="s">
        <v>21</v>
      </c>
      <c r="F308" t="s">
        <v>16</v>
      </c>
      <c r="G308">
        <v>311149</v>
      </c>
      <c r="H308" t="s">
        <v>366</v>
      </c>
      <c r="J308" t="s">
        <v>18</v>
      </c>
      <c r="K308">
        <v>5</v>
      </c>
      <c r="L308">
        <v>43</v>
      </c>
      <c r="M308">
        <v>67</v>
      </c>
      <c r="N308">
        <f>IF(Table1[[#This Row],[Employment_Status]]="Exited",1,0)</f>
        <v>0</v>
      </c>
      <c r="O308" t="str" cm="1">
        <f t="array" ref="O308">_xlfn.IFS(AND(Table1[[#This Row],[Age]]&gt;=22,Table1[[#This Row],[Age]]&lt;=35),"22-35",AND(Table1[[#This Row],[Age]]&gt;=36,Table1[[#This Row],[Age]]&lt;=45),"36-45",AND(Table1[[#This Row],[Age]]&gt;=46,Table1[[#This Row],[Age]]&lt;=55),"46-55")</f>
        <v>22-35</v>
      </c>
      <c r="P308">
        <f>IF(Table1[[#This Row],[Employment_Status]]="active",1,0)</f>
        <v>1</v>
      </c>
      <c r="Q308">
        <v>1</v>
      </c>
      <c r="R308" s="6">
        <f ca="1">YEARFRAC(Table1[[#This Row],[Hire_Date]],IF(Table1[[#This Row],[Employment_Status]]="Exited",Table1[[#This Row],[Exit_Date]],TODAY()))</f>
        <v>6.1694444444444443</v>
      </c>
      <c r="S308" t="str" cm="1">
        <f t="array" aca="1" ref="S308" ca="1">_xlfn.IFS(AND(Table1[[#This Row],[Tenure]]&gt;=0,Table1[[#This Row],[Tenure]]&lt;=1),"0-1",AND(Table1[[#This Row],[Tenure]]&gt;1,Table1[[#This Row],[Tenure]]&lt;=3),"1-3",AND(Table1[[#This Row],[Tenure]]&gt;3,Table1[[#This Row],[Tenure]]&lt;=5),"3-5",AND(Table1[[#This Row],[Tenure]]&gt;5,Table1[[#This Row],[Tenure]]&lt;=8),"5-8")</f>
        <v>5-8</v>
      </c>
      <c r="T308" t="str" cm="1">
        <f t="array" ref="T308">_xlfn.IFS(AND(Table1[[#This Row],[Salary]]&gt;=180000, Table1[[#This Row],[Salary]] &lt;=500000),"Low (180k-500k)", AND(Table1[[#This Row],[Salary]]&gt;500000, Table1[[#This Row],[Salary]]&lt;=800000), "Medium (501k-800k)", AND(Table1[[#This Row],[Salary]]&gt;800000, Table1[[#This Row],[Salary]]&lt;1200000), "High (801k - 1.2m)")</f>
        <v>Low (180k-500k)</v>
      </c>
    </row>
    <row r="309" spans="1:20" x14ac:dyDescent="0.2">
      <c r="A309">
        <v>308</v>
      </c>
      <c r="B309" t="s">
        <v>58</v>
      </c>
      <c r="C309" t="s">
        <v>20</v>
      </c>
      <c r="D309">
        <v>28</v>
      </c>
      <c r="E309" t="s">
        <v>45</v>
      </c>
      <c r="F309" t="s">
        <v>16</v>
      </c>
      <c r="G309">
        <v>383957</v>
      </c>
      <c r="H309" t="s">
        <v>367</v>
      </c>
      <c r="J309" t="s">
        <v>18</v>
      </c>
      <c r="K309">
        <v>3</v>
      </c>
      <c r="L309">
        <v>23</v>
      </c>
      <c r="M309">
        <v>67</v>
      </c>
      <c r="N309">
        <f>IF(Table1[[#This Row],[Employment_Status]]="Exited",1,0)</f>
        <v>0</v>
      </c>
      <c r="O309" t="str" cm="1">
        <f t="array" ref="O309">_xlfn.IFS(AND(Table1[[#This Row],[Age]]&gt;=22,Table1[[#This Row],[Age]]&lt;=35),"22-35",AND(Table1[[#This Row],[Age]]&gt;=36,Table1[[#This Row],[Age]]&lt;=45),"36-45",AND(Table1[[#This Row],[Age]]&gt;=46,Table1[[#This Row],[Age]]&lt;=55),"46-55")</f>
        <v>22-35</v>
      </c>
      <c r="P309">
        <f>IF(Table1[[#This Row],[Employment_Status]]="active",1,0)</f>
        <v>1</v>
      </c>
      <c r="Q309">
        <v>1</v>
      </c>
      <c r="R309" s="6">
        <f ca="1">YEARFRAC(Table1[[#This Row],[Hire_Date]],IF(Table1[[#This Row],[Employment_Status]]="Exited",Table1[[#This Row],[Exit_Date]],TODAY()))</f>
        <v>5.958333333333333</v>
      </c>
      <c r="S309" t="str" cm="1">
        <f t="array" aca="1" ref="S309" ca="1">_xlfn.IFS(AND(Table1[[#This Row],[Tenure]]&gt;=0,Table1[[#This Row],[Tenure]]&lt;=1),"0-1",AND(Table1[[#This Row],[Tenure]]&gt;1,Table1[[#This Row],[Tenure]]&lt;=3),"1-3",AND(Table1[[#This Row],[Tenure]]&gt;3,Table1[[#This Row],[Tenure]]&lt;=5),"3-5",AND(Table1[[#This Row],[Tenure]]&gt;5,Table1[[#This Row],[Tenure]]&lt;=8),"5-8")</f>
        <v>5-8</v>
      </c>
      <c r="T309" t="str" cm="1">
        <f t="array" ref="T309">_xlfn.IFS(AND(Table1[[#This Row],[Salary]]&gt;=180000, Table1[[#This Row],[Salary]] &lt;=500000),"Low (180k-500k)", AND(Table1[[#This Row],[Salary]]&gt;500000, Table1[[#This Row],[Salary]]&lt;=800000), "Medium (501k-800k)", AND(Table1[[#This Row],[Salary]]&gt;800000, Table1[[#This Row],[Salary]]&lt;1200000), "High (801k - 1.2m)")</f>
        <v>Low (180k-500k)</v>
      </c>
    </row>
    <row r="310" spans="1:20" x14ac:dyDescent="0.2">
      <c r="A310">
        <v>309</v>
      </c>
      <c r="B310" t="s">
        <v>75</v>
      </c>
      <c r="C310" t="s">
        <v>20</v>
      </c>
      <c r="D310">
        <v>48</v>
      </c>
      <c r="E310" t="s">
        <v>21</v>
      </c>
      <c r="F310" t="s">
        <v>27</v>
      </c>
      <c r="G310">
        <v>650798</v>
      </c>
      <c r="H310" t="s">
        <v>154</v>
      </c>
      <c r="J310" t="s">
        <v>18</v>
      </c>
      <c r="K310">
        <v>4</v>
      </c>
      <c r="L310">
        <v>24</v>
      </c>
      <c r="M310">
        <v>80</v>
      </c>
      <c r="N310">
        <f>IF(Table1[[#This Row],[Employment_Status]]="Exited",1,0)</f>
        <v>0</v>
      </c>
      <c r="O310" t="str" cm="1">
        <f t="array" ref="O310">_xlfn.IFS(AND(Table1[[#This Row],[Age]]&gt;=22,Table1[[#This Row],[Age]]&lt;=35),"22-35",AND(Table1[[#This Row],[Age]]&gt;=36,Table1[[#This Row],[Age]]&lt;=45),"36-45",AND(Table1[[#This Row],[Age]]&gt;=46,Table1[[#This Row],[Age]]&lt;=55),"46-55")</f>
        <v>46-55</v>
      </c>
      <c r="P310">
        <f>IF(Table1[[#This Row],[Employment_Status]]="active",1,0)</f>
        <v>1</v>
      </c>
      <c r="Q310">
        <v>1</v>
      </c>
      <c r="R310" s="6">
        <f ca="1">YEARFRAC(Table1[[#This Row],[Hire_Date]],IF(Table1[[#This Row],[Employment_Status]]="Exited",Table1[[#This Row],[Exit_Date]],TODAY()))</f>
        <v>6.4944444444444445</v>
      </c>
      <c r="S310" t="str" cm="1">
        <f t="array" aca="1" ref="S310" ca="1">_xlfn.IFS(AND(Table1[[#This Row],[Tenure]]&gt;=0,Table1[[#This Row],[Tenure]]&lt;=1),"0-1",AND(Table1[[#This Row],[Tenure]]&gt;1,Table1[[#This Row],[Tenure]]&lt;=3),"1-3",AND(Table1[[#This Row],[Tenure]]&gt;3,Table1[[#This Row],[Tenure]]&lt;=5),"3-5",AND(Table1[[#This Row],[Tenure]]&gt;5,Table1[[#This Row],[Tenure]]&lt;=8),"5-8")</f>
        <v>5-8</v>
      </c>
      <c r="T310" t="str" cm="1">
        <f t="array" ref="T310">_xlfn.IFS(AND(Table1[[#This Row],[Salary]]&gt;=180000, Table1[[#This Row],[Salary]] &lt;=500000),"Low (180k-500k)", AND(Table1[[#This Row],[Salary]]&gt;500000, Table1[[#This Row],[Salary]]&lt;=800000), "Medium (501k-800k)", AND(Table1[[#This Row],[Salary]]&gt;800000, Table1[[#This Row],[Salary]]&lt;1200000), "High (801k - 1.2m)")</f>
        <v>Medium (501k-800k)</v>
      </c>
    </row>
    <row r="311" spans="1:20" x14ac:dyDescent="0.2">
      <c r="A311">
        <v>310</v>
      </c>
      <c r="B311" t="s">
        <v>75</v>
      </c>
      <c r="C311" t="s">
        <v>14</v>
      </c>
      <c r="D311">
        <v>45</v>
      </c>
      <c r="E311" t="s">
        <v>21</v>
      </c>
      <c r="F311" t="s">
        <v>34</v>
      </c>
      <c r="G311">
        <v>457992</v>
      </c>
      <c r="H311" t="s">
        <v>368</v>
      </c>
      <c r="J311" t="s">
        <v>18</v>
      </c>
      <c r="K311">
        <v>4</v>
      </c>
      <c r="L311">
        <v>42</v>
      </c>
      <c r="M311">
        <v>90</v>
      </c>
      <c r="N311">
        <f>IF(Table1[[#This Row],[Employment_Status]]="Exited",1,0)</f>
        <v>0</v>
      </c>
      <c r="O311" t="str" cm="1">
        <f t="array" ref="O311">_xlfn.IFS(AND(Table1[[#This Row],[Age]]&gt;=22,Table1[[#This Row],[Age]]&lt;=35),"22-35",AND(Table1[[#This Row],[Age]]&gt;=36,Table1[[#This Row],[Age]]&lt;=45),"36-45",AND(Table1[[#This Row],[Age]]&gt;=46,Table1[[#This Row],[Age]]&lt;=55),"46-55")</f>
        <v>36-45</v>
      </c>
      <c r="P311">
        <f>IF(Table1[[#This Row],[Employment_Status]]="active",1,0)</f>
        <v>1</v>
      </c>
      <c r="Q311">
        <v>1</v>
      </c>
      <c r="R311" s="6">
        <f ca="1">YEARFRAC(Table1[[#This Row],[Hire_Date]],IF(Table1[[#This Row],[Employment_Status]]="Exited",Table1[[#This Row],[Exit_Date]],TODAY()))</f>
        <v>5.9527777777777775</v>
      </c>
      <c r="S311" t="str" cm="1">
        <f t="array" aca="1" ref="S311" ca="1">_xlfn.IFS(AND(Table1[[#This Row],[Tenure]]&gt;=0,Table1[[#This Row],[Tenure]]&lt;=1),"0-1",AND(Table1[[#This Row],[Tenure]]&gt;1,Table1[[#This Row],[Tenure]]&lt;=3),"1-3",AND(Table1[[#This Row],[Tenure]]&gt;3,Table1[[#This Row],[Tenure]]&lt;=5),"3-5",AND(Table1[[#This Row],[Tenure]]&gt;5,Table1[[#This Row],[Tenure]]&lt;=8),"5-8")</f>
        <v>5-8</v>
      </c>
      <c r="T311" t="str" cm="1">
        <f t="array" ref="T311">_xlfn.IFS(AND(Table1[[#This Row],[Salary]]&gt;=180000, Table1[[#This Row],[Salary]] &lt;=500000),"Low (180k-500k)", AND(Table1[[#This Row],[Salary]]&gt;500000, Table1[[#This Row],[Salary]]&lt;=800000), "Medium (501k-800k)", AND(Table1[[#This Row],[Salary]]&gt;800000, Table1[[#This Row],[Salary]]&lt;1200000), "High (801k - 1.2m)")</f>
        <v>Low (180k-500k)</v>
      </c>
    </row>
    <row r="312" spans="1:20" x14ac:dyDescent="0.2">
      <c r="A312">
        <v>311</v>
      </c>
      <c r="B312" t="s">
        <v>13</v>
      </c>
      <c r="C312" t="s">
        <v>14</v>
      </c>
      <c r="D312">
        <v>47</v>
      </c>
      <c r="E312" t="s">
        <v>49</v>
      </c>
      <c r="F312" t="s">
        <v>27</v>
      </c>
      <c r="G312">
        <v>495135</v>
      </c>
      <c r="H312" t="s">
        <v>268</v>
      </c>
      <c r="J312" t="s">
        <v>18</v>
      </c>
      <c r="K312">
        <v>4</v>
      </c>
      <c r="L312">
        <v>7</v>
      </c>
      <c r="M312">
        <v>73</v>
      </c>
      <c r="N312">
        <f>IF(Table1[[#This Row],[Employment_Status]]="Exited",1,0)</f>
        <v>0</v>
      </c>
      <c r="O312" t="str" cm="1">
        <f t="array" ref="O312">_xlfn.IFS(AND(Table1[[#This Row],[Age]]&gt;=22,Table1[[#This Row],[Age]]&lt;=35),"22-35",AND(Table1[[#This Row],[Age]]&gt;=36,Table1[[#This Row],[Age]]&lt;=45),"36-45",AND(Table1[[#This Row],[Age]]&gt;=46,Table1[[#This Row],[Age]]&lt;=55),"46-55")</f>
        <v>46-55</v>
      </c>
      <c r="P312">
        <f>IF(Table1[[#This Row],[Employment_Status]]="active",1,0)</f>
        <v>1</v>
      </c>
      <c r="Q312">
        <v>1</v>
      </c>
      <c r="R312" s="6">
        <f ca="1">YEARFRAC(Table1[[#This Row],[Hire_Date]],IF(Table1[[#This Row],[Employment_Status]]="Exited",Table1[[#This Row],[Exit_Date]],TODAY()))</f>
        <v>6.3777777777777782</v>
      </c>
      <c r="S312" t="str" cm="1">
        <f t="array" aca="1" ref="S312" ca="1">_xlfn.IFS(AND(Table1[[#This Row],[Tenure]]&gt;=0,Table1[[#This Row],[Tenure]]&lt;=1),"0-1",AND(Table1[[#This Row],[Tenure]]&gt;1,Table1[[#This Row],[Tenure]]&lt;=3),"1-3",AND(Table1[[#This Row],[Tenure]]&gt;3,Table1[[#This Row],[Tenure]]&lt;=5),"3-5",AND(Table1[[#This Row],[Tenure]]&gt;5,Table1[[#This Row],[Tenure]]&lt;=8),"5-8")</f>
        <v>5-8</v>
      </c>
      <c r="T312" t="str" cm="1">
        <f t="array" ref="T312">_xlfn.IFS(AND(Table1[[#This Row],[Salary]]&gt;=180000, Table1[[#This Row],[Salary]] &lt;=500000),"Low (180k-500k)", AND(Table1[[#This Row],[Salary]]&gt;500000, Table1[[#This Row],[Salary]]&lt;=800000), "Medium (501k-800k)", AND(Table1[[#This Row],[Salary]]&gt;800000, Table1[[#This Row],[Salary]]&lt;1200000), "High (801k - 1.2m)")</f>
        <v>Low (180k-500k)</v>
      </c>
    </row>
    <row r="313" spans="1:20" x14ac:dyDescent="0.2">
      <c r="A313">
        <v>312</v>
      </c>
      <c r="B313" t="s">
        <v>47</v>
      </c>
      <c r="C313" t="s">
        <v>14</v>
      </c>
      <c r="D313">
        <v>22</v>
      </c>
      <c r="E313" t="s">
        <v>15</v>
      </c>
      <c r="F313" t="s">
        <v>34</v>
      </c>
      <c r="G313">
        <v>437860</v>
      </c>
      <c r="H313" t="s">
        <v>369</v>
      </c>
      <c r="J313" t="s">
        <v>18</v>
      </c>
      <c r="K313">
        <v>3</v>
      </c>
      <c r="L313">
        <v>41</v>
      </c>
      <c r="M313">
        <v>65</v>
      </c>
      <c r="N313">
        <f>IF(Table1[[#This Row],[Employment_Status]]="Exited",1,0)</f>
        <v>0</v>
      </c>
      <c r="O313" t="str" cm="1">
        <f t="array" ref="O313">_xlfn.IFS(AND(Table1[[#This Row],[Age]]&gt;=22,Table1[[#This Row],[Age]]&lt;=35),"22-35",AND(Table1[[#This Row],[Age]]&gt;=36,Table1[[#This Row],[Age]]&lt;=45),"36-45",AND(Table1[[#This Row],[Age]]&gt;=46,Table1[[#This Row],[Age]]&lt;=55),"46-55")</f>
        <v>22-35</v>
      </c>
      <c r="P313">
        <f>IF(Table1[[#This Row],[Employment_Status]]="active",1,0)</f>
        <v>1</v>
      </c>
      <c r="Q313">
        <v>1</v>
      </c>
      <c r="R313" s="6">
        <f ca="1">YEARFRAC(Table1[[#This Row],[Hire_Date]],IF(Table1[[#This Row],[Employment_Status]]="Exited",Table1[[#This Row],[Exit_Date]],TODAY()))</f>
        <v>5.583333333333333</v>
      </c>
      <c r="S313" t="str" cm="1">
        <f t="array" aca="1" ref="S313" ca="1">_xlfn.IFS(AND(Table1[[#This Row],[Tenure]]&gt;=0,Table1[[#This Row],[Tenure]]&lt;=1),"0-1",AND(Table1[[#This Row],[Tenure]]&gt;1,Table1[[#This Row],[Tenure]]&lt;=3),"1-3",AND(Table1[[#This Row],[Tenure]]&gt;3,Table1[[#This Row],[Tenure]]&lt;=5),"3-5",AND(Table1[[#This Row],[Tenure]]&gt;5,Table1[[#This Row],[Tenure]]&lt;=8),"5-8")</f>
        <v>5-8</v>
      </c>
      <c r="T313" t="str" cm="1">
        <f t="array" ref="T313">_xlfn.IFS(AND(Table1[[#This Row],[Salary]]&gt;=180000, Table1[[#This Row],[Salary]] &lt;=500000),"Low (180k-500k)", AND(Table1[[#This Row],[Salary]]&gt;500000, Table1[[#This Row],[Salary]]&lt;=800000), "Medium (501k-800k)", AND(Table1[[#This Row],[Salary]]&gt;800000, Table1[[#This Row],[Salary]]&lt;1200000), "High (801k - 1.2m)")</f>
        <v>Low (180k-500k)</v>
      </c>
    </row>
    <row r="314" spans="1:20" x14ac:dyDescent="0.2">
      <c r="A314">
        <v>313</v>
      </c>
      <c r="B314" t="s">
        <v>36</v>
      </c>
      <c r="C314" t="s">
        <v>20</v>
      </c>
      <c r="D314">
        <v>24</v>
      </c>
      <c r="E314" t="s">
        <v>15</v>
      </c>
      <c r="F314" t="s">
        <v>27</v>
      </c>
      <c r="G314">
        <v>733849</v>
      </c>
      <c r="H314" t="s">
        <v>370</v>
      </c>
      <c r="J314" t="s">
        <v>18</v>
      </c>
      <c r="K314">
        <v>1</v>
      </c>
      <c r="L314">
        <v>10</v>
      </c>
      <c r="M314">
        <v>84</v>
      </c>
      <c r="N314">
        <f>IF(Table1[[#This Row],[Employment_Status]]="Exited",1,0)</f>
        <v>0</v>
      </c>
      <c r="O314" t="str" cm="1">
        <f t="array" ref="O314">_xlfn.IFS(AND(Table1[[#This Row],[Age]]&gt;=22,Table1[[#This Row],[Age]]&lt;=35),"22-35",AND(Table1[[#This Row],[Age]]&gt;=36,Table1[[#This Row],[Age]]&lt;=45),"36-45",AND(Table1[[#This Row],[Age]]&gt;=46,Table1[[#This Row],[Age]]&lt;=55),"46-55")</f>
        <v>22-35</v>
      </c>
      <c r="P314">
        <f>IF(Table1[[#This Row],[Employment_Status]]="active",1,0)</f>
        <v>1</v>
      </c>
      <c r="Q314">
        <v>1</v>
      </c>
      <c r="R314" s="6">
        <f ca="1">YEARFRAC(Table1[[#This Row],[Hire_Date]],IF(Table1[[#This Row],[Employment_Status]]="Exited",Table1[[#This Row],[Exit_Date]],TODAY()))</f>
        <v>6.7444444444444445</v>
      </c>
      <c r="S314" t="str" cm="1">
        <f t="array" aca="1" ref="S314" ca="1">_xlfn.IFS(AND(Table1[[#This Row],[Tenure]]&gt;=0,Table1[[#This Row],[Tenure]]&lt;=1),"0-1",AND(Table1[[#This Row],[Tenure]]&gt;1,Table1[[#This Row],[Tenure]]&lt;=3),"1-3",AND(Table1[[#This Row],[Tenure]]&gt;3,Table1[[#This Row],[Tenure]]&lt;=5),"3-5",AND(Table1[[#This Row],[Tenure]]&gt;5,Table1[[#This Row],[Tenure]]&lt;=8),"5-8")</f>
        <v>5-8</v>
      </c>
      <c r="T314" t="str" cm="1">
        <f t="array" ref="T314">_xlfn.IFS(AND(Table1[[#This Row],[Salary]]&gt;=180000, Table1[[#This Row],[Salary]] &lt;=500000),"Low (180k-500k)", AND(Table1[[#This Row],[Salary]]&gt;500000, Table1[[#This Row],[Salary]]&lt;=800000), "Medium (501k-800k)", AND(Table1[[#This Row],[Salary]]&gt;800000, Table1[[#This Row],[Salary]]&lt;1200000), "High (801k - 1.2m)")</f>
        <v>Medium (501k-800k)</v>
      </c>
    </row>
    <row r="315" spans="1:20" x14ac:dyDescent="0.2">
      <c r="A315">
        <v>314</v>
      </c>
      <c r="B315" t="s">
        <v>58</v>
      </c>
      <c r="C315" t="s">
        <v>20</v>
      </c>
      <c r="D315">
        <v>35</v>
      </c>
      <c r="E315" t="s">
        <v>61</v>
      </c>
      <c r="F315" t="s">
        <v>22</v>
      </c>
      <c r="G315">
        <v>393422</v>
      </c>
      <c r="H315" t="s">
        <v>293</v>
      </c>
      <c r="J315" t="s">
        <v>18</v>
      </c>
      <c r="K315">
        <v>4</v>
      </c>
      <c r="L315">
        <v>12</v>
      </c>
      <c r="M315">
        <v>70</v>
      </c>
      <c r="N315">
        <f>IF(Table1[[#This Row],[Employment_Status]]="Exited",1,0)</f>
        <v>0</v>
      </c>
      <c r="O315" t="str" cm="1">
        <f t="array" ref="O315">_xlfn.IFS(AND(Table1[[#This Row],[Age]]&gt;=22,Table1[[#This Row],[Age]]&lt;=35),"22-35",AND(Table1[[#This Row],[Age]]&gt;=36,Table1[[#This Row],[Age]]&lt;=45),"36-45",AND(Table1[[#This Row],[Age]]&gt;=46,Table1[[#This Row],[Age]]&lt;=55),"46-55")</f>
        <v>22-35</v>
      </c>
      <c r="P315">
        <f>IF(Table1[[#This Row],[Employment_Status]]="active",1,0)</f>
        <v>1</v>
      </c>
      <c r="Q315">
        <v>1</v>
      </c>
      <c r="R315" s="6">
        <f ca="1">YEARFRAC(Table1[[#This Row],[Hire_Date]],IF(Table1[[#This Row],[Employment_Status]]="Exited",Table1[[#This Row],[Exit_Date]],TODAY()))</f>
        <v>6.2555555555555555</v>
      </c>
      <c r="S315" t="str" cm="1">
        <f t="array" aca="1" ref="S315" ca="1">_xlfn.IFS(AND(Table1[[#This Row],[Tenure]]&gt;=0,Table1[[#This Row],[Tenure]]&lt;=1),"0-1",AND(Table1[[#This Row],[Tenure]]&gt;1,Table1[[#This Row],[Tenure]]&lt;=3),"1-3",AND(Table1[[#This Row],[Tenure]]&gt;3,Table1[[#This Row],[Tenure]]&lt;=5),"3-5",AND(Table1[[#This Row],[Tenure]]&gt;5,Table1[[#This Row],[Tenure]]&lt;=8),"5-8")</f>
        <v>5-8</v>
      </c>
      <c r="T315" t="str" cm="1">
        <f t="array" ref="T315">_xlfn.IFS(AND(Table1[[#This Row],[Salary]]&gt;=180000, Table1[[#This Row],[Salary]] &lt;=500000),"Low (180k-500k)", AND(Table1[[#This Row],[Salary]]&gt;500000, Table1[[#This Row],[Salary]]&lt;=800000), "Medium (501k-800k)", AND(Table1[[#This Row],[Salary]]&gt;800000, Table1[[#This Row],[Salary]]&lt;1200000), "High (801k - 1.2m)")</f>
        <v>Low (180k-500k)</v>
      </c>
    </row>
    <row r="316" spans="1:20" x14ac:dyDescent="0.2">
      <c r="A316">
        <v>315</v>
      </c>
      <c r="B316" t="s">
        <v>31</v>
      </c>
      <c r="C316" t="s">
        <v>14</v>
      </c>
      <c r="D316">
        <v>40</v>
      </c>
      <c r="E316" t="s">
        <v>21</v>
      </c>
      <c r="F316" t="s">
        <v>22</v>
      </c>
      <c r="G316">
        <v>608492</v>
      </c>
      <c r="H316" t="s">
        <v>371</v>
      </c>
      <c r="J316" t="s">
        <v>18</v>
      </c>
      <c r="K316">
        <v>5</v>
      </c>
      <c r="L316">
        <v>50</v>
      </c>
      <c r="M316">
        <v>98</v>
      </c>
      <c r="N316">
        <f>IF(Table1[[#This Row],[Employment_Status]]="Exited",1,0)</f>
        <v>0</v>
      </c>
      <c r="O316" t="str" cm="1">
        <f t="array" ref="O316">_xlfn.IFS(AND(Table1[[#This Row],[Age]]&gt;=22,Table1[[#This Row],[Age]]&lt;=35),"22-35",AND(Table1[[#This Row],[Age]]&gt;=36,Table1[[#This Row],[Age]]&lt;=45),"36-45",AND(Table1[[#This Row],[Age]]&gt;=46,Table1[[#This Row],[Age]]&lt;=55),"46-55")</f>
        <v>36-45</v>
      </c>
      <c r="P316">
        <f>IF(Table1[[#This Row],[Employment_Status]]="active",1,0)</f>
        <v>1</v>
      </c>
      <c r="Q316">
        <v>1</v>
      </c>
      <c r="R316" s="6">
        <f ca="1">YEARFRAC(Table1[[#This Row],[Hire_Date]],IF(Table1[[#This Row],[Employment_Status]]="Exited",Table1[[#This Row],[Exit_Date]],TODAY()))</f>
        <v>2.2666666666666666</v>
      </c>
      <c r="S316" t="str" cm="1">
        <f t="array" aca="1" ref="S316" ca="1">_xlfn.IFS(AND(Table1[[#This Row],[Tenure]]&gt;=0,Table1[[#This Row],[Tenure]]&lt;=1),"0-1",AND(Table1[[#This Row],[Tenure]]&gt;1,Table1[[#This Row],[Tenure]]&lt;=3),"1-3",AND(Table1[[#This Row],[Tenure]]&gt;3,Table1[[#This Row],[Tenure]]&lt;=5),"3-5",AND(Table1[[#This Row],[Tenure]]&gt;5,Table1[[#This Row],[Tenure]]&lt;=8),"5-8")</f>
        <v>1-3</v>
      </c>
      <c r="T316" t="str" cm="1">
        <f t="array" ref="T316">_xlfn.IFS(AND(Table1[[#This Row],[Salary]]&gt;=180000, Table1[[#This Row],[Salary]] &lt;=500000),"Low (180k-500k)", AND(Table1[[#This Row],[Salary]]&gt;500000, Table1[[#This Row],[Salary]]&lt;=800000), "Medium (501k-800k)", AND(Table1[[#This Row],[Salary]]&gt;800000, Table1[[#This Row],[Salary]]&lt;1200000), "High (801k - 1.2m)")</f>
        <v>Medium (501k-800k)</v>
      </c>
    </row>
    <row r="317" spans="1:20" x14ac:dyDescent="0.2">
      <c r="A317">
        <v>316</v>
      </c>
      <c r="B317" t="s">
        <v>36</v>
      </c>
      <c r="C317" t="s">
        <v>14</v>
      </c>
      <c r="D317">
        <v>54</v>
      </c>
      <c r="E317" t="s">
        <v>61</v>
      </c>
      <c r="F317" t="s">
        <v>16</v>
      </c>
      <c r="G317">
        <v>360928</v>
      </c>
      <c r="H317" t="s">
        <v>372</v>
      </c>
      <c r="J317" t="s">
        <v>18</v>
      </c>
      <c r="K317">
        <v>4</v>
      </c>
      <c r="L317">
        <v>3</v>
      </c>
      <c r="M317">
        <v>87</v>
      </c>
      <c r="N317">
        <f>IF(Table1[[#This Row],[Employment_Status]]="Exited",1,0)</f>
        <v>0</v>
      </c>
      <c r="O317" t="str" cm="1">
        <f t="array" ref="O317">_xlfn.IFS(AND(Table1[[#This Row],[Age]]&gt;=22,Table1[[#This Row],[Age]]&lt;=35),"22-35",AND(Table1[[#This Row],[Age]]&gt;=36,Table1[[#This Row],[Age]]&lt;=45),"36-45",AND(Table1[[#This Row],[Age]]&gt;=46,Table1[[#This Row],[Age]]&lt;=55),"46-55")</f>
        <v>46-55</v>
      </c>
      <c r="P317">
        <f>IF(Table1[[#This Row],[Employment_Status]]="active",1,0)</f>
        <v>1</v>
      </c>
      <c r="Q317">
        <v>1</v>
      </c>
      <c r="R317" s="6">
        <f ca="1">YEARFRAC(Table1[[#This Row],[Hire_Date]],IF(Table1[[#This Row],[Employment_Status]]="Exited",Table1[[#This Row],[Exit_Date]],TODAY()))</f>
        <v>2.4527777777777779</v>
      </c>
      <c r="S317" t="str" cm="1">
        <f t="array" aca="1" ref="S317" ca="1">_xlfn.IFS(AND(Table1[[#This Row],[Tenure]]&gt;=0,Table1[[#This Row],[Tenure]]&lt;=1),"0-1",AND(Table1[[#This Row],[Tenure]]&gt;1,Table1[[#This Row],[Tenure]]&lt;=3),"1-3",AND(Table1[[#This Row],[Tenure]]&gt;3,Table1[[#This Row],[Tenure]]&lt;=5),"3-5",AND(Table1[[#This Row],[Tenure]]&gt;5,Table1[[#This Row],[Tenure]]&lt;=8),"5-8")</f>
        <v>1-3</v>
      </c>
      <c r="T317" t="str" cm="1">
        <f t="array" ref="T317">_xlfn.IFS(AND(Table1[[#This Row],[Salary]]&gt;=180000, Table1[[#This Row],[Salary]] &lt;=500000),"Low (180k-500k)", AND(Table1[[#This Row],[Salary]]&gt;500000, Table1[[#This Row],[Salary]]&lt;=800000), "Medium (501k-800k)", AND(Table1[[#This Row],[Salary]]&gt;800000, Table1[[#This Row],[Salary]]&lt;1200000), "High (801k - 1.2m)")</f>
        <v>Low (180k-500k)</v>
      </c>
    </row>
    <row r="318" spans="1:20" x14ac:dyDescent="0.2">
      <c r="A318">
        <v>317</v>
      </c>
      <c r="B318" t="s">
        <v>36</v>
      </c>
      <c r="C318" t="s">
        <v>20</v>
      </c>
      <c r="D318">
        <v>37</v>
      </c>
      <c r="E318" t="s">
        <v>15</v>
      </c>
      <c r="F318" t="s">
        <v>27</v>
      </c>
      <c r="G318">
        <v>1190452</v>
      </c>
      <c r="H318" t="s">
        <v>269</v>
      </c>
      <c r="J318" t="s">
        <v>18</v>
      </c>
      <c r="K318">
        <v>4</v>
      </c>
      <c r="L318">
        <v>24</v>
      </c>
      <c r="M318">
        <v>70</v>
      </c>
      <c r="N318">
        <f>IF(Table1[[#This Row],[Employment_Status]]="Exited",1,0)</f>
        <v>0</v>
      </c>
      <c r="O318" t="str" cm="1">
        <f t="array" ref="O318">_xlfn.IFS(AND(Table1[[#This Row],[Age]]&gt;=22,Table1[[#This Row],[Age]]&lt;=35),"22-35",AND(Table1[[#This Row],[Age]]&gt;=36,Table1[[#This Row],[Age]]&lt;=45),"36-45",AND(Table1[[#This Row],[Age]]&gt;=46,Table1[[#This Row],[Age]]&lt;=55),"46-55")</f>
        <v>36-45</v>
      </c>
      <c r="P318">
        <f>IF(Table1[[#This Row],[Employment_Status]]="active",1,0)</f>
        <v>1</v>
      </c>
      <c r="Q318">
        <v>1</v>
      </c>
      <c r="R318" s="6">
        <f ca="1">YEARFRAC(Table1[[#This Row],[Hire_Date]],IF(Table1[[#This Row],[Employment_Status]]="Exited",Table1[[#This Row],[Exit_Date]],TODAY()))</f>
        <v>5.1638888888888888</v>
      </c>
      <c r="S318" t="str" cm="1">
        <f t="array" aca="1" ref="S318" ca="1">_xlfn.IFS(AND(Table1[[#This Row],[Tenure]]&gt;=0,Table1[[#This Row],[Tenure]]&lt;=1),"0-1",AND(Table1[[#This Row],[Tenure]]&gt;1,Table1[[#This Row],[Tenure]]&lt;=3),"1-3",AND(Table1[[#This Row],[Tenure]]&gt;3,Table1[[#This Row],[Tenure]]&lt;=5),"3-5",AND(Table1[[#This Row],[Tenure]]&gt;5,Table1[[#This Row],[Tenure]]&lt;=8),"5-8")</f>
        <v>5-8</v>
      </c>
      <c r="T318" t="str" cm="1">
        <f t="array" ref="T318">_xlfn.IFS(AND(Table1[[#This Row],[Salary]]&gt;=180000, Table1[[#This Row],[Salary]] &lt;=500000),"Low (180k-500k)", AND(Table1[[#This Row],[Salary]]&gt;500000, Table1[[#This Row],[Salary]]&lt;=800000), "Medium (501k-800k)", AND(Table1[[#This Row],[Salary]]&gt;800000, Table1[[#This Row],[Salary]]&lt;1200000), "High (801k - 1.2m)")</f>
        <v>High (801k - 1.2m)</v>
      </c>
    </row>
    <row r="319" spans="1:20" x14ac:dyDescent="0.2">
      <c r="A319">
        <v>318</v>
      </c>
      <c r="B319" t="s">
        <v>26</v>
      </c>
      <c r="C319" t="s">
        <v>14</v>
      </c>
      <c r="D319">
        <v>28</v>
      </c>
      <c r="E319" t="s">
        <v>15</v>
      </c>
      <c r="F319" t="s">
        <v>16</v>
      </c>
      <c r="G319">
        <v>957672</v>
      </c>
      <c r="H319" t="s">
        <v>373</v>
      </c>
      <c r="J319" t="s">
        <v>18</v>
      </c>
      <c r="K319">
        <v>3</v>
      </c>
      <c r="L319">
        <v>38</v>
      </c>
      <c r="M319">
        <v>83</v>
      </c>
      <c r="N319">
        <f>IF(Table1[[#This Row],[Employment_Status]]="Exited",1,0)</f>
        <v>0</v>
      </c>
      <c r="O319" t="str" cm="1">
        <f t="array" ref="O319">_xlfn.IFS(AND(Table1[[#This Row],[Age]]&gt;=22,Table1[[#This Row],[Age]]&lt;=35),"22-35",AND(Table1[[#This Row],[Age]]&gt;=36,Table1[[#This Row],[Age]]&lt;=45),"36-45",AND(Table1[[#This Row],[Age]]&gt;=46,Table1[[#This Row],[Age]]&lt;=55),"46-55")</f>
        <v>22-35</v>
      </c>
      <c r="P319">
        <f>IF(Table1[[#This Row],[Employment_Status]]="active",1,0)</f>
        <v>1</v>
      </c>
      <c r="Q319">
        <v>1</v>
      </c>
      <c r="R319" s="6">
        <f ca="1">YEARFRAC(Table1[[#This Row],[Hire_Date]],IF(Table1[[#This Row],[Employment_Status]]="Exited",Table1[[#This Row],[Exit_Date]],TODAY()))</f>
        <v>7.3416666666666668</v>
      </c>
      <c r="S319" t="str" cm="1">
        <f t="array" aca="1" ref="S319" ca="1">_xlfn.IFS(AND(Table1[[#This Row],[Tenure]]&gt;=0,Table1[[#This Row],[Tenure]]&lt;=1),"0-1",AND(Table1[[#This Row],[Tenure]]&gt;1,Table1[[#This Row],[Tenure]]&lt;=3),"1-3",AND(Table1[[#This Row],[Tenure]]&gt;3,Table1[[#This Row],[Tenure]]&lt;=5),"3-5",AND(Table1[[#This Row],[Tenure]]&gt;5,Table1[[#This Row],[Tenure]]&lt;=8),"5-8")</f>
        <v>5-8</v>
      </c>
      <c r="T319" t="str" cm="1">
        <f t="array" ref="T319">_xlfn.IFS(AND(Table1[[#This Row],[Salary]]&gt;=180000, Table1[[#This Row],[Salary]] &lt;=500000),"Low (180k-500k)", AND(Table1[[#This Row],[Salary]]&gt;500000, Table1[[#This Row],[Salary]]&lt;=800000), "Medium (501k-800k)", AND(Table1[[#This Row],[Salary]]&gt;800000, Table1[[#This Row],[Salary]]&lt;1200000), "High (801k - 1.2m)")</f>
        <v>High (801k - 1.2m)</v>
      </c>
    </row>
    <row r="320" spans="1:20" x14ac:dyDescent="0.2">
      <c r="A320">
        <v>319</v>
      </c>
      <c r="B320" t="s">
        <v>19</v>
      </c>
      <c r="C320" t="s">
        <v>20</v>
      </c>
      <c r="D320">
        <v>46</v>
      </c>
      <c r="E320" t="s">
        <v>21</v>
      </c>
      <c r="F320" t="s">
        <v>34</v>
      </c>
      <c r="G320">
        <v>296923</v>
      </c>
      <c r="H320" t="s">
        <v>374</v>
      </c>
      <c r="J320" t="s">
        <v>18</v>
      </c>
      <c r="K320">
        <v>5</v>
      </c>
      <c r="L320">
        <v>36</v>
      </c>
      <c r="M320">
        <v>66</v>
      </c>
      <c r="N320">
        <f>IF(Table1[[#This Row],[Employment_Status]]="Exited",1,0)</f>
        <v>0</v>
      </c>
      <c r="O320" t="str" cm="1">
        <f t="array" ref="O320">_xlfn.IFS(AND(Table1[[#This Row],[Age]]&gt;=22,Table1[[#This Row],[Age]]&lt;=35),"22-35",AND(Table1[[#This Row],[Age]]&gt;=36,Table1[[#This Row],[Age]]&lt;=45),"36-45",AND(Table1[[#This Row],[Age]]&gt;=46,Table1[[#This Row],[Age]]&lt;=55),"46-55")</f>
        <v>46-55</v>
      </c>
      <c r="P320">
        <f>IF(Table1[[#This Row],[Employment_Status]]="active",1,0)</f>
        <v>1</v>
      </c>
      <c r="Q320">
        <v>1</v>
      </c>
      <c r="R320" s="6">
        <f ca="1">YEARFRAC(Table1[[#This Row],[Hire_Date]],IF(Table1[[#This Row],[Employment_Status]]="Exited",Table1[[#This Row],[Exit_Date]],TODAY()))</f>
        <v>5.8111111111111109</v>
      </c>
      <c r="S320" t="str" cm="1">
        <f t="array" aca="1" ref="S320" ca="1">_xlfn.IFS(AND(Table1[[#This Row],[Tenure]]&gt;=0,Table1[[#This Row],[Tenure]]&lt;=1),"0-1",AND(Table1[[#This Row],[Tenure]]&gt;1,Table1[[#This Row],[Tenure]]&lt;=3),"1-3",AND(Table1[[#This Row],[Tenure]]&gt;3,Table1[[#This Row],[Tenure]]&lt;=5),"3-5",AND(Table1[[#This Row],[Tenure]]&gt;5,Table1[[#This Row],[Tenure]]&lt;=8),"5-8")</f>
        <v>5-8</v>
      </c>
      <c r="T320" t="str" cm="1">
        <f t="array" ref="T320">_xlfn.IFS(AND(Table1[[#This Row],[Salary]]&gt;=180000, Table1[[#This Row],[Salary]] &lt;=500000),"Low (180k-500k)", AND(Table1[[#This Row],[Salary]]&gt;500000, Table1[[#This Row],[Salary]]&lt;=800000), "Medium (501k-800k)", AND(Table1[[#This Row],[Salary]]&gt;800000, Table1[[#This Row],[Salary]]&lt;1200000), "High (801k - 1.2m)")</f>
        <v>Low (180k-500k)</v>
      </c>
    </row>
    <row r="321" spans="1:20" x14ac:dyDescent="0.2">
      <c r="A321">
        <v>320</v>
      </c>
      <c r="B321" t="s">
        <v>26</v>
      </c>
      <c r="C321" t="s">
        <v>20</v>
      </c>
      <c r="D321">
        <v>53</v>
      </c>
      <c r="E321" t="s">
        <v>49</v>
      </c>
      <c r="F321" t="s">
        <v>27</v>
      </c>
      <c r="G321">
        <v>434531</v>
      </c>
      <c r="H321" t="s">
        <v>208</v>
      </c>
      <c r="J321" t="s">
        <v>18</v>
      </c>
      <c r="K321">
        <v>3</v>
      </c>
      <c r="L321">
        <v>22</v>
      </c>
      <c r="M321">
        <v>70</v>
      </c>
      <c r="N321">
        <f>IF(Table1[[#This Row],[Employment_Status]]="Exited",1,0)</f>
        <v>0</v>
      </c>
      <c r="O321" t="str" cm="1">
        <f t="array" ref="O321">_xlfn.IFS(AND(Table1[[#This Row],[Age]]&gt;=22,Table1[[#This Row],[Age]]&lt;=35),"22-35",AND(Table1[[#This Row],[Age]]&gt;=36,Table1[[#This Row],[Age]]&lt;=45),"36-45",AND(Table1[[#This Row],[Age]]&gt;=46,Table1[[#This Row],[Age]]&lt;=55),"46-55")</f>
        <v>46-55</v>
      </c>
      <c r="P321">
        <f>IF(Table1[[#This Row],[Employment_Status]]="active",1,0)</f>
        <v>1</v>
      </c>
      <c r="Q321">
        <v>1</v>
      </c>
      <c r="R321" s="6">
        <f ca="1">YEARFRAC(Table1[[#This Row],[Hire_Date]],IF(Table1[[#This Row],[Employment_Status]]="Exited",Table1[[#This Row],[Exit_Date]],TODAY()))</f>
        <v>5.4138888888888888</v>
      </c>
      <c r="S321" t="str" cm="1">
        <f t="array" aca="1" ref="S321" ca="1">_xlfn.IFS(AND(Table1[[#This Row],[Tenure]]&gt;=0,Table1[[#This Row],[Tenure]]&lt;=1),"0-1",AND(Table1[[#This Row],[Tenure]]&gt;1,Table1[[#This Row],[Tenure]]&lt;=3),"1-3",AND(Table1[[#This Row],[Tenure]]&gt;3,Table1[[#This Row],[Tenure]]&lt;=5),"3-5",AND(Table1[[#This Row],[Tenure]]&gt;5,Table1[[#This Row],[Tenure]]&lt;=8),"5-8")</f>
        <v>5-8</v>
      </c>
      <c r="T321" t="str" cm="1">
        <f t="array" ref="T321">_xlfn.IFS(AND(Table1[[#This Row],[Salary]]&gt;=180000, Table1[[#This Row],[Salary]] &lt;=500000),"Low (180k-500k)", AND(Table1[[#This Row],[Salary]]&gt;500000, Table1[[#This Row],[Salary]]&lt;=800000), "Medium (501k-800k)", AND(Table1[[#This Row],[Salary]]&gt;800000, Table1[[#This Row],[Salary]]&lt;1200000), "High (801k - 1.2m)")</f>
        <v>Low (180k-500k)</v>
      </c>
    </row>
    <row r="322" spans="1:20" x14ac:dyDescent="0.2">
      <c r="A322">
        <v>321</v>
      </c>
      <c r="B322" t="s">
        <v>75</v>
      </c>
      <c r="C322" t="s">
        <v>20</v>
      </c>
      <c r="D322">
        <v>36</v>
      </c>
      <c r="E322" t="s">
        <v>15</v>
      </c>
      <c r="F322" t="s">
        <v>27</v>
      </c>
      <c r="G322">
        <v>467983</v>
      </c>
      <c r="H322" t="s">
        <v>375</v>
      </c>
      <c r="J322" t="s">
        <v>18</v>
      </c>
      <c r="K322">
        <v>1</v>
      </c>
      <c r="L322">
        <v>13</v>
      </c>
      <c r="M322">
        <v>68</v>
      </c>
      <c r="N322">
        <f>IF(Table1[[#This Row],[Employment_Status]]="Exited",1,0)</f>
        <v>0</v>
      </c>
      <c r="O322" t="str" cm="1">
        <f t="array" ref="O322">_xlfn.IFS(AND(Table1[[#This Row],[Age]]&gt;=22,Table1[[#This Row],[Age]]&lt;=35),"22-35",AND(Table1[[#This Row],[Age]]&gt;=36,Table1[[#This Row],[Age]]&lt;=45),"36-45",AND(Table1[[#This Row],[Age]]&gt;=46,Table1[[#This Row],[Age]]&lt;=55),"46-55")</f>
        <v>36-45</v>
      </c>
      <c r="P322">
        <f>IF(Table1[[#This Row],[Employment_Status]]="active",1,0)</f>
        <v>1</v>
      </c>
      <c r="Q322">
        <v>1</v>
      </c>
      <c r="R322" s="6">
        <f ca="1">YEARFRAC(Table1[[#This Row],[Hire_Date]],IF(Table1[[#This Row],[Employment_Status]]="Exited",Table1[[#This Row],[Exit_Date]],TODAY()))</f>
        <v>2.963888888888889</v>
      </c>
      <c r="S322" t="str" cm="1">
        <f t="array" aca="1" ref="S322" ca="1">_xlfn.IFS(AND(Table1[[#This Row],[Tenure]]&gt;=0,Table1[[#This Row],[Tenure]]&lt;=1),"0-1",AND(Table1[[#This Row],[Tenure]]&gt;1,Table1[[#This Row],[Tenure]]&lt;=3),"1-3",AND(Table1[[#This Row],[Tenure]]&gt;3,Table1[[#This Row],[Tenure]]&lt;=5),"3-5",AND(Table1[[#This Row],[Tenure]]&gt;5,Table1[[#This Row],[Tenure]]&lt;=8),"5-8")</f>
        <v>1-3</v>
      </c>
      <c r="T322" t="str" cm="1">
        <f t="array" ref="T322">_xlfn.IFS(AND(Table1[[#This Row],[Salary]]&gt;=180000, Table1[[#This Row],[Salary]] &lt;=500000),"Low (180k-500k)", AND(Table1[[#This Row],[Salary]]&gt;500000, Table1[[#This Row],[Salary]]&lt;=800000), "Medium (501k-800k)", AND(Table1[[#This Row],[Salary]]&gt;800000, Table1[[#This Row],[Salary]]&lt;1200000), "High (801k - 1.2m)")</f>
        <v>Low (180k-500k)</v>
      </c>
    </row>
    <row r="323" spans="1:20" x14ac:dyDescent="0.2">
      <c r="A323">
        <v>322</v>
      </c>
      <c r="B323" t="s">
        <v>40</v>
      </c>
      <c r="C323" t="s">
        <v>14</v>
      </c>
      <c r="D323">
        <v>50</v>
      </c>
      <c r="E323" t="s">
        <v>49</v>
      </c>
      <c r="F323" t="s">
        <v>22</v>
      </c>
      <c r="G323">
        <v>209789</v>
      </c>
      <c r="H323" t="s">
        <v>376</v>
      </c>
      <c r="J323" t="s">
        <v>18</v>
      </c>
      <c r="K323">
        <v>1</v>
      </c>
      <c r="L323">
        <v>0</v>
      </c>
      <c r="M323">
        <v>89</v>
      </c>
      <c r="N323">
        <f>IF(Table1[[#This Row],[Employment_Status]]="Exited",1,0)</f>
        <v>0</v>
      </c>
      <c r="O323" t="str" cm="1">
        <f t="array" ref="O323">_xlfn.IFS(AND(Table1[[#This Row],[Age]]&gt;=22,Table1[[#This Row],[Age]]&lt;=35),"22-35",AND(Table1[[#This Row],[Age]]&gt;=36,Table1[[#This Row],[Age]]&lt;=45),"36-45",AND(Table1[[#This Row],[Age]]&gt;=46,Table1[[#This Row],[Age]]&lt;=55),"46-55")</f>
        <v>46-55</v>
      </c>
      <c r="P323">
        <f>IF(Table1[[#This Row],[Employment_Status]]="active",1,0)</f>
        <v>1</v>
      </c>
      <c r="Q323">
        <v>1</v>
      </c>
      <c r="R323" s="6">
        <f ca="1">YEARFRAC(Table1[[#This Row],[Hire_Date]],IF(Table1[[#This Row],[Employment_Status]]="Exited",Table1[[#This Row],[Exit_Date]],TODAY()))</f>
        <v>2.3777777777777778</v>
      </c>
      <c r="S323" t="str" cm="1">
        <f t="array" aca="1" ref="S323" ca="1">_xlfn.IFS(AND(Table1[[#This Row],[Tenure]]&gt;=0,Table1[[#This Row],[Tenure]]&lt;=1),"0-1",AND(Table1[[#This Row],[Tenure]]&gt;1,Table1[[#This Row],[Tenure]]&lt;=3),"1-3",AND(Table1[[#This Row],[Tenure]]&gt;3,Table1[[#This Row],[Tenure]]&lt;=5),"3-5",AND(Table1[[#This Row],[Tenure]]&gt;5,Table1[[#This Row],[Tenure]]&lt;=8),"5-8")</f>
        <v>1-3</v>
      </c>
      <c r="T323" t="str" cm="1">
        <f t="array" ref="T323">_xlfn.IFS(AND(Table1[[#This Row],[Salary]]&gt;=180000, Table1[[#This Row],[Salary]] &lt;=500000),"Low (180k-500k)", AND(Table1[[#This Row],[Salary]]&gt;500000, Table1[[#This Row],[Salary]]&lt;=800000), "Medium (501k-800k)", AND(Table1[[#This Row],[Salary]]&gt;800000, Table1[[#This Row],[Salary]]&lt;1200000), "High (801k - 1.2m)")</f>
        <v>Low (180k-500k)</v>
      </c>
    </row>
    <row r="324" spans="1:20" x14ac:dyDescent="0.2">
      <c r="A324">
        <v>323</v>
      </c>
      <c r="B324" t="s">
        <v>24</v>
      </c>
      <c r="C324" t="s">
        <v>14</v>
      </c>
      <c r="D324">
        <v>22</v>
      </c>
      <c r="E324" t="s">
        <v>21</v>
      </c>
      <c r="F324" t="s">
        <v>34</v>
      </c>
      <c r="G324">
        <v>309141</v>
      </c>
      <c r="H324" t="s">
        <v>377</v>
      </c>
      <c r="I324" t="s">
        <v>378</v>
      </c>
      <c r="J324" t="s">
        <v>55</v>
      </c>
      <c r="K324">
        <v>4</v>
      </c>
      <c r="L324">
        <v>22</v>
      </c>
      <c r="M324">
        <v>71</v>
      </c>
      <c r="N324">
        <f>IF(Table1[[#This Row],[Employment_Status]]="Exited",1,0)</f>
        <v>1</v>
      </c>
      <c r="O324" t="str" cm="1">
        <f t="array" ref="O324">_xlfn.IFS(AND(Table1[[#This Row],[Age]]&gt;=22,Table1[[#This Row],[Age]]&lt;=35),"22-35",AND(Table1[[#This Row],[Age]]&gt;=36,Table1[[#This Row],[Age]]&lt;=45),"36-45",AND(Table1[[#This Row],[Age]]&gt;=46,Table1[[#This Row],[Age]]&lt;=55),"46-55")</f>
        <v>22-35</v>
      </c>
      <c r="P324">
        <f>IF(Table1[[#This Row],[Employment_Status]]="active",1,0)</f>
        <v>0</v>
      </c>
      <c r="Q324">
        <v>1</v>
      </c>
      <c r="R324" s="6">
        <f ca="1">YEARFRAC(Table1[[#This Row],[Hire_Date]],IF(Table1[[#This Row],[Employment_Status]]="Exited",Table1[[#This Row],[Exit_Date]],TODAY()))</f>
        <v>0.8833333333333333</v>
      </c>
      <c r="S324" t="str" cm="1">
        <f t="array" aca="1" ref="S324" ca="1">_xlfn.IFS(AND(Table1[[#This Row],[Tenure]]&gt;=0,Table1[[#This Row],[Tenure]]&lt;=1),"0-1",AND(Table1[[#This Row],[Tenure]]&gt;1,Table1[[#This Row],[Tenure]]&lt;=3),"1-3",AND(Table1[[#This Row],[Tenure]]&gt;3,Table1[[#This Row],[Tenure]]&lt;=5),"3-5",AND(Table1[[#This Row],[Tenure]]&gt;5,Table1[[#This Row],[Tenure]]&lt;=8),"5-8")</f>
        <v>0-1</v>
      </c>
      <c r="T324" t="str" cm="1">
        <f t="array" ref="T324">_xlfn.IFS(AND(Table1[[#This Row],[Salary]]&gt;=180000, Table1[[#This Row],[Salary]] &lt;=500000),"Low (180k-500k)", AND(Table1[[#This Row],[Salary]]&gt;500000, Table1[[#This Row],[Salary]]&lt;=800000), "Medium (501k-800k)", AND(Table1[[#This Row],[Salary]]&gt;800000, Table1[[#This Row],[Salary]]&lt;1200000), "High (801k - 1.2m)")</f>
        <v>Low (180k-500k)</v>
      </c>
    </row>
    <row r="325" spans="1:20" x14ac:dyDescent="0.2">
      <c r="A325">
        <v>324</v>
      </c>
      <c r="B325" t="s">
        <v>31</v>
      </c>
      <c r="C325" t="s">
        <v>14</v>
      </c>
      <c r="D325">
        <v>53</v>
      </c>
      <c r="E325" t="s">
        <v>15</v>
      </c>
      <c r="F325" t="s">
        <v>16</v>
      </c>
      <c r="G325">
        <v>1001470</v>
      </c>
      <c r="H325" t="s">
        <v>379</v>
      </c>
      <c r="J325" t="s">
        <v>18</v>
      </c>
      <c r="K325">
        <v>5</v>
      </c>
      <c r="L325">
        <v>47</v>
      </c>
      <c r="M325">
        <v>81</v>
      </c>
      <c r="N325">
        <f>IF(Table1[[#This Row],[Employment_Status]]="Exited",1,0)</f>
        <v>0</v>
      </c>
      <c r="O325" t="str" cm="1">
        <f t="array" ref="O325">_xlfn.IFS(AND(Table1[[#This Row],[Age]]&gt;=22,Table1[[#This Row],[Age]]&lt;=35),"22-35",AND(Table1[[#This Row],[Age]]&gt;=36,Table1[[#This Row],[Age]]&lt;=45),"36-45",AND(Table1[[#This Row],[Age]]&gt;=46,Table1[[#This Row],[Age]]&lt;=55),"46-55")</f>
        <v>46-55</v>
      </c>
      <c r="P325">
        <f>IF(Table1[[#This Row],[Employment_Status]]="active",1,0)</f>
        <v>1</v>
      </c>
      <c r="Q325">
        <v>1</v>
      </c>
      <c r="R325" s="6">
        <f ca="1">YEARFRAC(Table1[[#This Row],[Hire_Date]],IF(Table1[[#This Row],[Employment_Status]]="Exited",Table1[[#This Row],[Exit_Date]],TODAY()))</f>
        <v>2.0222222222222221</v>
      </c>
      <c r="S325" t="str" cm="1">
        <f t="array" aca="1" ref="S325" ca="1">_xlfn.IFS(AND(Table1[[#This Row],[Tenure]]&gt;=0,Table1[[#This Row],[Tenure]]&lt;=1),"0-1",AND(Table1[[#This Row],[Tenure]]&gt;1,Table1[[#This Row],[Tenure]]&lt;=3),"1-3",AND(Table1[[#This Row],[Tenure]]&gt;3,Table1[[#This Row],[Tenure]]&lt;=5),"3-5",AND(Table1[[#This Row],[Tenure]]&gt;5,Table1[[#This Row],[Tenure]]&lt;=8),"5-8")</f>
        <v>1-3</v>
      </c>
      <c r="T325" t="str" cm="1">
        <f t="array" ref="T325">_xlfn.IFS(AND(Table1[[#This Row],[Salary]]&gt;=180000, Table1[[#This Row],[Salary]] &lt;=500000),"Low (180k-500k)", AND(Table1[[#This Row],[Salary]]&gt;500000, Table1[[#This Row],[Salary]]&lt;=800000), "Medium (501k-800k)", AND(Table1[[#This Row],[Salary]]&gt;800000, Table1[[#This Row],[Salary]]&lt;1200000), "High (801k - 1.2m)")</f>
        <v>High (801k - 1.2m)</v>
      </c>
    </row>
    <row r="326" spans="1:20" x14ac:dyDescent="0.2">
      <c r="A326">
        <v>325</v>
      </c>
      <c r="B326" t="s">
        <v>26</v>
      </c>
      <c r="C326" t="s">
        <v>20</v>
      </c>
      <c r="D326">
        <v>37</v>
      </c>
      <c r="E326" t="s">
        <v>21</v>
      </c>
      <c r="F326" t="s">
        <v>22</v>
      </c>
      <c r="G326">
        <v>488799</v>
      </c>
      <c r="H326" t="s">
        <v>380</v>
      </c>
      <c r="I326" t="s">
        <v>381</v>
      </c>
      <c r="J326" t="s">
        <v>55</v>
      </c>
      <c r="K326">
        <v>2</v>
      </c>
      <c r="L326">
        <v>23</v>
      </c>
      <c r="M326">
        <v>92</v>
      </c>
      <c r="N326">
        <f>IF(Table1[[#This Row],[Employment_Status]]="Exited",1,0)</f>
        <v>1</v>
      </c>
      <c r="O326" t="str" cm="1">
        <f t="array" ref="O326">_xlfn.IFS(AND(Table1[[#This Row],[Age]]&gt;=22,Table1[[#This Row],[Age]]&lt;=35),"22-35",AND(Table1[[#This Row],[Age]]&gt;=36,Table1[[#This Row],[Age]]&lt;=45),"36-45",AND(Table1[[#This Row],[Age]]&gt;=46,Table1[[#This Row],[Age]]&lt;=55),"46-55")</f>
        <v>36-45</v>
      </c>
      <c r="P326">
        <f>IF(Table1[[#This Row],[Employment_Status]]="active",1,0)</f>
        <v>0</v>
      </c>
      <c r="Q326">
        <v>1</v>
      </c>
      <c r="R326" s="6">
        <f ca="1">YEARFRAC(Table1[[#This Row],[Hire_Date]],IF(Table1[[#This Row],[Employment_Status]]="Exited",Table1[[#This Row],[Exit_Date]],TODAY()))</f>
        <v>2.2611111111111111</v>
      </c>
      <c r="S326" t="str" cm="1">
        <f t="array" aca="1" ref="S326" ca="1">_xlfn.IFS(AND(Table1[[#This Row],[Tenure]]&gt;=0,Table1[[#This Row],[Tenure]]&lt;=1),"0-1",AND(Table1[[#This Row],[Tenure]]&gt;1,Table1[[#This Row],[Tenure]]&lt;=3),"1-3",AND(Table1[[#This Row],[Tenure]]&gt;3,Table1[[#This Row],[Tenure]]&lt;=5),"3-5",AND(Table1[[#This Row],[Tenure]]&gt;5,Table1[[#This Row],[Tenure]]&lt;=8),"5-8")</f>
        <v>1-3</v>
      </c>
      <c r="T326" t="str" cm="1">
        <f t="array" ref="T326">_xlfn.IFS(AND(Table1[[#This Row],[Salary]]&gt;=180000, Table1[[#This Row],[Salary]] &lt;=500000),"Low (180k-500k)", AND(Table1[[#This Row],[Salary]]&gt;500000, Table1[[#This Row],[Salary]]&lt;=800000), "Medium (501k-800k)", AND(Table1[[#This Row],[Salary]]&gt;800000, Table1[[#This Row],[Salary]]&lt;1200000), "High (801k - 1.2m)")</f>
        <v>Low (180k-500k)</v>
      </c>
    </row>
    <row r="327" spans="1:20" x14ac:dyDescent="0.2">
      <c r="A327">
        <v>326</v>
      </c>
      <c r="B327" t="s">
        <v>26</v>
      </c>
      <c r="C327" t="s">
        <v>20</v>
      </c>
      <c r="D327">
        <v>43</v>
      </c>
      <c r="E327" t="s">
        <v>15</v>
      </c>
      <c r="F327" t="s">
        <v>27</v>
      </c>
      <c r="G327">
        <v>705602</v>
      </c>
      <c r="H327" t="s">
        <v>217</v>
      </c>
      <c r="J327" t="s">
        <v>18</v>
      </c>
      <c r="K327">
        <v>3</v>
      </c>
      <c r="L327">
        <v>9</v>
      </c>
      <c r="M327">
        <v>81</v>
      </c>
      <c r="N327">
        <f>IF(Table1[[#This Row],[Employment_Status]]="Exited",1,0)</f>
        <v>0</v>
      </c>
      <c r="O327" t="str" cm="1">
        <f t="array" ref="O327">_xlfn.IFS(AND(Table1[[#This Row],[Age]]&gt;=22,Table1[[#This Row],[Age]]&lt;=35),"22-35",AND(Table1[[#This Row],[Age]]&gt;=36,Table1[[#This Row],[Age]]&lt;=45),"36-45",AND(Table1[[#This Row],[Age]]&gt;=46,Table1[[#This Row],[Age]]&lt;=55),"46-55")</f>
        <v>36-45</v>
      </c>
      <c r="P327">
        <f>IF(Table1[[#This Row],[Employment_Status]]="active",1,0)</f>
        <v>1</v>
      </c>
      <c r="Q327">
        <v>1</v>
      </c>
      <c r="R327" s="6">
        <f ca="1">YEARFRAC(Table1[[#This Row],[Hire_Date]],IF(Table1[[#This Row],[Employment_Status]]="Exited",Table1[[#This Row],[Exit_Date]],TODAY()))</f>
        <v>3.536111111111111</v>
      </c>
      <c r="S327" t="str" cm="1">
        <f t="array" aca="1" ref="S327" ca="1">_xlfn.IFS(AND(Table1[[#This Row],[Tenure]]&gt;=0,Table1[[#This Row],[Tenure]]&lt;=1),"0-1",AND(Table1[[#This Row],[Tenure]]&gt;1,Table1[[#This Row],[Tenure]]&lt;=3),"1-3",AND(Table1[[#This Row],[Tenure]]&gt;3,Table1[[#This Row],[Tenure]]&lt;=5),"3-5",AND(Table1[[#This Row],[Tenure]]&gt;5,Table1[[#This Row],[Tenure]]&lt;=8),"5-8")</f>
        <v>3-5</v>
      </c>
      <c r="T327" t="str" cm="1">
        <f t="array" ref="T327">_xlfn.IFS(AND(Table1[[#This Row],[Salary]]&gt;=180000, Table1[[#This Row],[Salary]] &lt;=500000),"Low (180k-500k)", AND(Table1[[#This Row],[Salary]]&gt;500000, Table1[[#This Row],[Salary]]&lt;=800000), "Medium (501k-800k)", AND(Table1[[#This Row],[Salary]]&gt;800000, Table1[[#This Row],[Salary]]&lt;1200000), "High (801k - 1.2m)")</f>
        <v>Medium (501k-800k)</v>
      </c>
    </row>
    <row r="328" spans="1:20" x14ac:dyDescent="0.2">
      <c r="A328">
        <v>327</v>
      </c>
      <c r="B328" t="s">
        <v>33</v>
      </c>
      <c r="C328" t="s">
        <v>14</v>
      </c>
      <c r="D328">
        <v>23</v>
      </c>
      <c r="E328" t="s">
        <v>15</v>
      </c>
      <c r="F328" t="s">
        <v>16</v>
      </c>
      <c r="G328">
        <v>426105</v>
      </c>
      <c r="H328" t="s">
        <v>278</v>
      </c>
      <c r="J328" t="s">
        <v>18</v>
      </c>
      <c r="K328">
        <v>4</v>
      </c>
      <c r="L328">
        <v>48</v>
      </c>
      <c r="M328">
        <v>86</v>
      </c>
      <c r="N328">
        <f>IF(Table1[[#This Row],[Employment_Status]]="Exited",1,0)</f>
        <v>0</v>
      </c>
      <c r="O328" t="str" cm="1">
        <f t="array" ref="O328">_xlfn.IFS(AND(Table1[[#This Row],[Age]]&gt;=22,Table1[[#This Row],[Age]]&lt;=35),"22-35",AND(Table1[[#This Row],[Age]]&gt;=36,Table1[[#This Row],[Age]]&lt;=45),"36-45",AND(Table1[[#This Row],[Age]]&gt;=46,Table1[[#This Row],[Age]]&lt;=55),"46-55")</f>
        <v>22-35</v>
      </c>
      <c r="P328">
        <f>IF(Table1[[#This Row],[Employment_Status]]="active",1,0)</f>
        <v>1</v>
      </c>
      <c r="Q328">
        <v>1</v>
      </c>
      <c r="R328" s="6">
        <f ca="1">YEARFRAC(Table1[[#This Row],[Hire_Date]],IF(Table1[[#This Row],[Employment_Status]]="Exited",Table1[[#This Row],[Exit_Date]],TODAY()))</f>
        <v>3.088888888888889</v>
      </c>
      <c r="S328" t="str" cm="1">
        <f t="array" aca="1" ref="S328" ca="1">_xlfn.IFS(AND(Table1[[#This Row],[Tenure]]&gt;=0,Table1[[#This Row],[Tenure]]&lt;=1),"0-1",AND(Table1[[#This Row],[Tenure]]&gt;1,Table1[[#This Row],[Tenure]]&lt;=3),"1-3",AND(Table1[[#This Row],[Tenure]]&gt;3,Table1[[#This Row],[Tenure]]&lt;=5),"3-5",AND(Table1[[#This Row],[Tenure]]&gt;5,Table1[[#This Row],[Tenure]]&lt;=8),"5-8")</f>
        <v>3-5</v>
      </c>
      <c r="T328" t="str" cm="1">
        <f t="array" ref="T328">_xlfn.IFS(AND(Table1[[#This Row],[Salary]]&gt;=180000, Table1[[#This Row],[Salary]] &lt;=500000),"Low (180k-500k)", AND(Table1[[#This Row],[Salary]]&gt;500000, Table1[[#This Row],[Salary]]&lt;=800000), "Medium (501k-800k)", AND(Table1[[#This Row],[Salary]]&gt;800000, Table1[[#This Row],[Salary]]&lt;1200000), "High (801k - 1.2m)")</f>
        <v>Low (180k-500k)</v>
      </c>
    </row>
    <row r="329" spans="1:20" x14ac:dyDescent="0.2">
      <c r="A329">
        <v>328</v>
      </c>
      <c r="B329" t="s">
        <v>24</v>
      </c>
      <c r="C329" t="s">
        <v>20</v>
      </c>
      <c r="D329">
        <v>42</v>
      </c>
      <c r="E329" t="s">
        <v>15</v>
      </c>
      <c r="F329" t="s">
        <v>27</v>
      </c>
      <c r="G329">
        <v>1080331</v>
      </c>
      <c r="H329" t="s">
        <v>382</v>
      </c>
      <c r="J329" t="s">
        <v>18</v>
      </c>
      <c r="K329">
        <v>4</v>
      </c>
      <c r="L329">
        <v>48</v>
      </c>
      <c r="M329">
        <v>98</v>
      </c>
      <c r="N329">
        <f>IF(Table1[[#This Row],[Employment_Status]]="Exited",1,0)</f>
        <v>0</v>
      </c>
      <c r="O329" t="str" cm="1">
        <f t="array" ref="O329">_xlfn.IFS(AND(Table1[[#This Row],[Age]]&gt;=22,Table1[[#This Row],[Age]]&lt;=35),"22-35",AND(Table1[[#This Row],[Age]]&gt;=36,Table1[[#This Row],[Age]]&lt;=45),"36-45",AND(Table1[[#This Row],[Age]]&gt;=46,Table1[[#This Row],[Age]]&lt;=55),"46-55")</f>
        <v>36-45</v>
      </c>
      <c r="P329">
        <f>IF(Table1[[#This Row],[Employment_Status]]="active",1,0)</f>
        <v>1</v>
      </c>
      <c r="Q329">
        <v>1</v>
      </c>
      <c r="R329" s="6">
        <f ca="1">YEARFRAC(Table1[[#This Row],[Hire_Date]],IF(Table1[[#This Row],[Employment_Status]]="Exited",Table1[[#This Row],[Exit_Date]],TODAY()))</f>
        <v>3.7777777777777777</v>
      </c>
      <c r="S329" t="str" cm="1">
        <f t="array" aca="1" ref="S329" ca="1">_xlfn.IFS(AND(Table1[[#This Row],[Tenure]]&gt;=0,Table1[[#This Row],[Tenure]]&lt;=1),"0-1",AND(Table1[[#This Row],[Tenure]]&gt;1,Table1[[#This Row],[Tenure]]&lt;=3),"1-3",AND(Table1[[#This Row],[Tenure]]&gt;3,Table1[[#This Row],[Tenure]]&lt;=5),"3-5",AND(Table1[[#This Row],[Tenure]]&gt;5,Table1[[#This Row],[Tenure]]&lt;=8),"5-8")</f>
        <v>3-5</v>
      </c>
      <c r="T329" t="str" cm="1">
        <f t="array" ref="T329">_xlfn.IFS(AND(Table1[[#This Row],[Salary]]&gt;=180000, Table1[[#This Row],[Salary]] &lt;=500000),"Low (180k-500k)", AND(Table1[[#This Row],[Salary]]&gt;500000, Table1[[#This Row],[Salary]]&lt;=800000), "Medium (501k-800k)", AND(Table1[[#This Row],[Salary]]&gt;800000, Table1[[#This Row],[Salary]]&lt;1200000), "High (801k - 1.2m)")</f>
        <v>High (801k - 1.2m)</v>
      </c>
    </row>
    <row r="330" spans="1:20" x14ac:dyDescent="0.2">
      <c r="A330">
        <v>329</v>
      </c>
      <c r="B330" t="s">
        <v>19</v>
      </c>
      <c r="C330" t="s">
        <v>20</v>
      </c>
      <c r="D330">
        <v>24</v>
      </c>
      <c r="E330" t="s">
        <v>21</v>
      </c>
      <c r="F330" t="s">
        <v>22</v>
      </c>
      <c r="G330">
        <v>648335</v>
      </c>
      <c r="H330" t="s">
        <v>383</v>
      </c>
      <c r="I330" t="s">
        <v>384</v>
      </c>
      <c r="J330" t="s">
        <v>55</v>
      </c>
      <c r="K330">
        <v>3</v>
      </c>
      <c r="L330">
        <v>49</v>
      </c>
      <c r="M330">
        <v>73</v>
      </c>
      <c r="N330">
        <f>IF(Table1[[#This Row],[Employment_Status]]="Exited",1,0)</f>
        <v>1</v>
      </c>
      <c r="O330" t="str" cm="1">
        <f t="array" ref="O330">_xlfn.IFS(AND(Table1[[#This Row],[Age]]&gt;=22,Table1[[#This Row],[Age]]&lt;=35),"22-35",AND(Table1[[#This Row],[Age]]&gt;=36,Table1[[#This Row],[Age]]&lt;=45),"36-45",AND(Table1[[#This Row],[Age]]&gt;=46,Table1[[#This Row],[Age]]&lt;=55),"46-55")</f>
        <v>22-35</v>
      </c>
      <c r="P330">
        <f>IF(Table1[[#This Row],[Employment_Status]]="active",1,0)</f>
        <v>0</v>
      </c>
      <c r="Q330">
        <v>1</v>
      </c>
      <c r="R330" s="6">
        <f ca="1">YEARFRAC(Table1[[#This Row],[Hire_Date]],IF(Table1[[#This Row],[Employment_Status]]="Exited",Table1[[#This Row],[Exit_Date]],TODAY()))</f>
        <v>1.9805555555555556</v>
      </c>
      <c r="S330" t="str" cm="1">
        <f t="array" aca="1" ref="S330" ca="1">_xlfn.IFS(AND(Table1[[#This Row],[Tenure]]&gt;=0,Table1[[#This Row],[Tenure]]&lt;=1),"0-1",AND(Table1[[#This Row],[Tenure]]&gt;1,Table1[[#This Row],[Tenure]]&lt;=3),"1-3",AND(Table1[[#This Row],[Tenure]]&gt;3,Table1[[#This Row],[Tenure]]&lt;=5),"3-5",AND(Table1[[#This Row],[Tenure]]&gt;5,Table1[[#This Row],[Tenure]]&lt;=8),"5-8")</f>
        <v>1-3</v>
      </c>
      <c r="T330" t="str" cm="1">
        <f t="array" ref="T330">_xlfn.IFS(AND(Table1[[#This Row],[Salary]]&gt;=180000, Table1[[#This Row],[Salary]] &lt;=500000),"Low (180k-500k)", AND(Table1[[#This Row],[Salary]]&gt;500000, Table1[[#This Row],[Salary]]&lt;=800000), "Medium (501k-800k)", AND(Table1[[#This Row],[Salary]]&gt;800000, Table1[[#This Row],[Salary]]&lt;1200000), "High (801k - 1.2m)")</f>
        <v>Medium (501k-800k)</v>
      </c>
    </row>
    <row r="331" spans="1:20" x14ac:dyDescent="0.2">
      <c r="A331">
        <v>330</v>
      </c>
      <c r="B331" t="s">
        <v>75</v>
      </c>
      <c r="C331" t="s">
        <v>20</v>
      </c>
      <c r="D331">
        <v>40</v>
      </c>
      <c r="E331" t="s">
        <v>15</v>
      </c>
      <c r="F331" t="s">
        <v>34</v>
      </c>
      <c r="G331">
        <v>1197296</v>
      </c>
      <c r="H331" t="s">
        <v>385</v>
      </c>
      <c r="J331" t="s">
        <v>18</v>
      </c>
      <c r="K331">
        <v>5</v>
      </c>
      <c r="L331">
        <v>47</v>
      </c>
      <c r="M331">
        <v>73</v>
      </c>
      <c r="N331">
        <f>IF(Table1[[#This Row],[Employment_Status]]="Exited",1,0)</f>
        <v>0</v>
      </c>
      <c r="O331" t="str" cm="1">
        <f t="array" ref="O331">_xlfn.IFS(AND(Table1[[#This Row],[Age]]&gt;=22,Table1[[#This Row],[Age]]&lt;=35),"22-35",AND(Table1[[#This Row],[Age]]&gt;=36,Table1[[#This Row],[Age]]&lt;=45),"36-45",AND(Table1[[#This Row],[Age]]&gt;=46,Table1[[#This Row],[Age]]&lt;=55),"46-55")</f>
        <v>36-45</v>
      </c>
      <c r="P331">
        <f>IF(Table1[[#This Row],[Employment_Status]]="active",1,0)</f>
        <v>1</v>
      </c>
      <c r="Q331">
        <v>1</v>
      </c>
      <c r="R331" s="6">
        <f ca="1">YEARFRAC(Table1[[#This Row],[Hire_Date]],IF(Table1[[#This Row],[Employment_Status]]="Exited",Table1[[#This Row],[Exit_Date]],TODAY()))</f>
        <v>3.8444444444444446</v>
      </c>
      <c r="S331" t="str" cm="1">
        <f t="array" aca="1" ref="S331" ca="1">_xlfn.IFS(AND(Table1[[#This Row],[Tenure]]&gt;=0,Table1[[#This Row],[Tenure]]&lt;=1),"0-1",AND(Table1[[#This Row],[Tenure]]&gt;1,Table1[[#This Row],[Tenure]]&lt;=3),"1-3",AND(Table1[[#This Row],[Tenure]]&gt;3,Table1[[#This Row],[Tenure]]&lt;=5),"3-5",AND(Table1[[#This Row],[Tenure]]&gt;5,Table1[[#This Row],[Tenure]]&lt;=8),"5-8")</f>
        <v>3-5</v>
      </c>
      <c r="T331" t="str" cm="1">
        <f t="array" ref="T331">_xlfn.IFS(AND(Table1[[#This Row],[Salary]]&gt;=180000, Table1[[#This Row],[Salary]] &lt;=500000),"Low (180k-500k)", AND(Table1[[#This Row],[Salary]]&gt;500000, Table1[[#This Row],[Salary]]&lt;=800000), "Medium (501k-800k)", AND(Table1[[#This Row],[Salary]]&gt;800000, Table1[[#This Row],[Salary]]&lt;1200000), "High (801k - 1.2m)")</f>
        <v>High (801k - 1.2m)</v>
      </c>
    </row>
    <row r="332" spans="1:20" x14ac:dyDescent="0.2">
      <c r="A332">
        <v>331</v>
      </c>
      <c r="B332" t="s">
        <v>19</v>
      </c>
      <c r="C332" t="s">
        <v>14</v>
      </c>
      <c r="D332">
        <v>52</v>
      </c>
      <c r="E332" t="s">
        <v>45</v>
      </c>
      <c r="F332" t="s">
        <v>34</v>
      </c>
      <c r="G332">
        <v>321187</v>
      </c>
      <c r="H332" t="s">
        <v>386</v>
      </c>
      <c r="J332" t="s">
        <v>18</v>
      </c>
      <c r="K332">
        <v>2</v>
      </c>
      <c r="L332">
        <v>7</v>
      </c>
      <c r="M332">
        <v>91</v>
      </c>
      <c r="N332">
        <f>IF(Table1[[#This Row],[Employment_Status]]="Exited",1,0)</f>
        <v>0</v>
      </c>
      <c r="O332" t="str" cm="1">
        <f t="array" ref="O332">_xlfn.IFS(AND(Table1[[#This Row],[Age]]&gt;=22,Table1[[#This Row],[Age]]&lt;=35),"22-35",AND(Table1[[#This Row],[Age]]&gt;=36,Table1[[#This Row],[Age]]&lt;=45),"36-45",AND(Table1[[#This Row],[Age]]&gt;=46,Table1[[#This Row],[Age]]&lt;=55),"46-55")</f>
        <v>46-55</v>
      </c>
      <c r="P332">
        <f>IF(Table1[[#This Row],[Employment_Status]]="active",1,0)</f>
        <v>1</v>
      </c>
      <c r="Q332">
        <v>1</v>
      </c>
      <c r="R332" s="6">
        <f ca="1">YEARFRAC(Table1[[#This Row],[Hire_Date]],IF(Table1[[#This Row],[Employment_Status]]="Exited",Table1[[#This Row],[Exit_Date]],TODAY()))</f>
        <v>2.35</v>
      </c>
      <c r="S332" t="str" cm="1">
        <f t="array" aca="1" ref="S332" ca="1">_xlfn.IFS(AND(Table1[[#This Row],[Tenure]]&gt;=0,Table1[[#This Row],[Tenure]]&lt;=1),"0-1",AND(Table1[[#This Row],[Tenure]]&gt;1,Table1[[#This Row],[Tenure]]&lt;=3),"1-3",AND(Table1[[#This Row],[Tenure]]&gt;3,Table1[[#This Row],[Tenure]]&lt;=5),"3-5",AND(Table1[[#This Row],[Tenure]]&gt;5,Table1[[#This Row],[Tenure]]&lt;=8),"5-8")</f>
        <v>1-3</v>
      </c>
      <c r="T332" t="str" cm="1">
        <f t="array" ref="T332">_xlfn.IFS(AND(Table1[[#This Row],[Salary]]&gt;=180000, Table1[[#This Row],[Salary]] &lt;=500000),"Low (180k-500k)", AND(Table1[[#This Row],[Salary]]&gt;500000, Table1[[#This Row],[Salary]]&lt;=800000), "Medium (501k-800k)", AND(Table1[[#This Row],[Salary]]&gt;800000, Table1[[#This Row],[Salary]]&lt;1200000), "High (801k - 1.2m)")</f>
        <v>Low (180k-500k)</v>
      </c>
    </row>
    <row r="333" spans="1:20" x14ac:dyDescent="0.2">
      <c r="A333">
        <v>332</v>
      </c>
      <c r="B333" t="s">
        <v>13</v>
      </c>
      <c r="C333" t="s">
        <v>20</v>
      </c>
      <c r="D333">
        <v>29</v>
      </c>
      <c r="E333" t="s">
        <v>15</v>
      </c>
      <c r="F333" t="s">
        <v>22</v>
      </c>
      <c r="G333">
        <v>839124</v>
      </c>
      <c r="H333" t="s">
        <v>387</v>
      </c>
      <c r="J333" t="s">
        <v>18</v>
      </c>
      <c r="K333">
        <v>4</v>
      </c>
      <c r="L333">
        <v>43</v>
      </c>
      <c r="M333">
        <v>66</v>
      </c>
      <c r="N333">
        <f>IF(Table1[[#This Row],[Employment_Status]]="Exited",1,0)</f>
        <v>0</v>
      </c>
      <c r="O333" t="str" cm="1">
        <f t="array" ref="O333">_xlfn.IFS(AND(Table1[[#This Row],[Age]]&gt;=22,Table1[[#This Row],[Age]]&lt;=35),"22-35",AND(Table1[[#This Row],[Age]]&gt;=36,Table1[[#This Row],[Age]]&lt;=45),"36-45",AND(Table1[[#This Row],[Age]]&gt;=46,Table1[[#This Row],[Age]]&lt;=55),"46-55")</f>
        <v>22-35</v>
      </c>
      <c r="P333">
        <f>IF(Table1[[#This Row],[Employment_Status]]="active",1,0)</f>
        <v>1</v>
      </c>
      <c r="Q333">
        <v>1</v>
      </c>
      <c r="R333" s="6">
        <f ca="1">YEARFRAC(Table1[[#This Row],[Hire_Date]],IF(Table1[[#This Row],[Employment_Status]]="Exited",Table1[[#This Row],[Exit_Date]],TODAY()))</f>
        <v>3.2222222222222223</v>
      </c>
      <c r="S333" t="str" cm="1">
        <f t="array" aca="1" ref="S333" ca="1">_xlfn.IFS(AND(Table1[[#This Row],[Tenure]]&gt;=0,Table1[[#This Row],[Tenure]]&lt;=1),"0-1",AND(Table1[[#This Row],[Tenure]]&gt;1,Table1[[#This Row],[Tenure]]&lt;=3),"1-3",AND(Table1[[#This Row],[Tenure]]&gt;3,Table1[[#This Row],[Tenure]]&lt;=5),"3-5",AND(Table1[[#This Row],[Tenure]]&gt;5,Table1[[#This Row],[Tenure]]&lt;=8),"5-8")</f>
        <v>3-5</v>
      </c>
      <c r="T333" t="str" cm="1">
        <f t="array" ref="T333">_xlfn.IFS(AND(Table1[[#This Row],[Salary]]&gt;=180000, Table1[[#This Row],[Salary]] &lt;=500000),"Low (180k-500k)", AND(Table1[[#This Row],[Salary]]&gt;500000, Table1[[#This Row],[Salary]]&lt;=800000), "Medium (501k-800k)", AND(Table1[[#This Row],[Salary]]&gt;800000, Table1[[#This Row],[Salary]]&lt;1200000), "High (801k - 1.2m)")</f>
        <v>High (801k - 1.2m)</v>
      </c>
    </row>
    <row r="334" spans="1:20" x14ac:dyDescent="0.2">
      <c r="A334">
        <v>333</v>
      </c>
      <c r="B334" t="s">
        <v>19</v>
      </c>
      <c r="C334" t="s">
        <v>14</v>
      </c>
      <c r="D334">
        <v>49</v>
      </c>
      <c r="E334" t="s">
        <v>15</v>
      </c>
      <c r="F334" t="s">
        <v>34</v>
      </c>
      <c r="G334">
        <v>1184173</v>
      </c>
      <c r="H334" t="s">
        <v>388</v>
      </c>
      <c r="I334" t="s">
        <v>389</v>
      </c>
      <c r="J334" t="s">
        <v>55</v>
      </c>
      <c r="K334">
        <v>4</v>
      </c>
      <c r="L334">
        <v>23</v>
      </c>
      <c r="M334">
        <v>70</v>
      </c>
      <c r="N334">
        <f>IF(Table1[[#This Row],[Employment_Status]]="Exited",1,0)</f>
        <v>1</v>
      </c>
      <c r="O334" t="str" cm="1">
        <f t="array" ref="O334">_xlfn.IFS(AND(Table1[[#This Row],[Age]]&gt;=22,Table1[[#This Row],[Age]]&lt;=35),"22-35",AND(Table1[[#This Row],[Age]]&gt;=36,Table1[[#This Row],[Age]]&lt;=45),"36-45",AND(Table1[[#This Row],[Age]]&gt;=46,Table1[[#This Row],[Age]]&lt;=55),"46-55")</f>
        <v>46-55</v>
      </c>
      <c r="P334">
        <f>IF(Table1[[#This Row],[Employment_Status]]="active",1,0)</f>
        <v>0</v>
      </c>
      <c r="Q334">
        <v>1</v>
      </c>
      <c r="R334" s="6">
        <f ca="1">YEARFRAC(Table1[[#This Row],[Hire_Date]],IF(Table1[[#This Row],[Employment_Status]]="Exited",Table1[[#This Row],[Exit_Date]],TODAY()))</f>
        <v>3.05</v>
      </c>
      <c r="S334" t="str" cm="1">
        <f t="array" aca="1" ref="S334" ca="1">_xlfn.IFS(AND(Table1[[#This Row],[Tenure]]&gt;=0,Table1[[#This Row],[Tenure]]&lt;=1),"0-1",AND(Table1[[#This Row],[Tenure]]&gt;1,Table1[[#This Row],[Tenure]]&lt;=3),"1-3",AND(Table1[[#This Row],[Tenure]]&gt;3,Table1[[#This Row],[Tenure]]&lt;=5),"3-5",AND(Table1[[#This Row],[Tenure]]&gt;5,Table1[[#This Row],[Tenure]]&lt;=8),"5-8")</f>
        <v>3-5</v>
      </c>
      <c r="T334" t="str" cm="1">
        <f t="array" ref="T334">_xlfn.IFS(AND(Table1[[#This Row],[Salary]]&gt;=180000, Table1[[#This Row],[Salary]] &lt;=500000),"Low (180k-500k)", AND(Table1[[#This Row],[Salary]]&gt;500000, Table1[[#This Row],[Salary]]&lt;=800000), "Medium (501k-800k)", AND(Table1[[#This Row],[Salary]]&gt;800000, Table1[[#This Row],[Salary]]&lt;1200000), "High (801k - 1.2m)")</f>
        <v>High (801k - 1.2m)</v>
      </c>
    </row>
    <row r="335" spans="1:20" x14ac:dyDescent="0.2">
      <c r="A335">
        <v>334</v>
      </c>
      <c r="B335" t="s">
        <v>26</v>
      </c>
      <c r="C335" t="s">
        <v>20</v>
      </c>
      <c r="D335">
        <v>22</v>
      </c>
      <c r="E335" t="s">
        <v>15</v>
      </c>
      <c r="F335" t="s">
        <v>22</v>
      </c>
      <c r="G335">
        <v>670917</v>
      </c>
      <c r="H335" t="s">
        <v>390</v>
      </c>
      <c r="J335" t="s">
        <v>18</v>
      </c>
      <c r="K335">
        <v>4</v>
      </c>
      <c r="L335">
        <v>27</v>
      </c>
      <c r="M335">
        <v>70</v>
      </c>
      <c r="N335">
        <f>IF(Table1[[#This Row],[Employment_Status]]="Exited",1,0)</f>
        <v>0</v>
      </c>
      <c r="O335" t="str" cm="1">
        <f t="array" ref="O335">_xlfn.IFS(AND(Table1[[#This Row],[Age]]&gt;=22,Table1[[#This Row],[Age]]&lt;=35),"22-35",AND(Table1[[#This Row],[Age]]&gt;=36,Table1[[#This Row],[Age]]&lt;=45),"36-45",AND(Table1[[#This Row],[Age]]&gt;=46,Table1[[#This Row],[Age]]&lt;=55),"46-55")</f>
        <v>22-35</v>
      </c>
      <c r="P335">
        <f>IF(Table1[[#This Row],[Employment_Status]]="active",1,0)</f>
        <v>1</v>
      </c>
      <c r="Q335">
        <v>1</v>
      </c>
      <c r="R335" s="6">
        <f ca="1">YEARFRAC(Table1[[#This Row],[Hire_Date]],IF(Table1[[#This Row],[Employment_Status]]="Exited",Table1[[#This Row],[Exit_Date]],TODAY()))</f>
        <v>6.6555555555555559</v>
      </c>
      <c r="S335" t="str" cm="1">
        <f t="array" aca="1" ref="S335" ca="1">_xlfn.IFS(AND(Table1[[#This Row],[Tenure]]&gt;=0,Table1[[#This Row],[Tenure]]&lt;=1),"0-1",AND(Table1[[#This Row],[Tenure]]&gt;1,Table1[[#This Row],[Tenure]]&lt;=3),"1-3",AND(Table1[[#This Row],[Tenure]]&gt;3,Table1[[#This Row],[Tenure]]&lt;=5),"3-5",AND(Table1[[#This Row],[Tenure]]&gt;5,Table1[[#This Row],[Tenure]]&lt;=8),"5-8")</f>
        <v>5-8</v>
      </c>
      <c r="T335" t="str" cm="1">
        <f t="array" ref="T335">_xlfn.IFS(AND(Table1[[#This Row],[Salary]]&gt;=180000, Table1[[#This Row],[Salary]] &lt;=500000),"Low (180k-500k)", AND(Table1[[#This Row],[Salary]]&gt;500000, Table1[[#This Row],[Salary]]&lt;=800000), "Medium (501k-800k)", AND(Table1[[#This Row],[Salary]]&gt;800000, Table1[[#This Row],[Salary]]&lt;1200000), "High (801k - 1.2m)")</f>
        <v>Medium (501k-800k)</v>
      </c>
    </row>
    <row r="336" spans="1:20" x14ac:dyDescent="0.2">
      <c r="A336">
        <v>335</v>
      </c>
      <c r="B336" t="s">
        <v>19</v>
      </c>
      <c r="C336" t="s">
        <v>14</v>
      </c>
      <c r="D336">
        <v>25</v>
      </c>
      <c r="E336" t="s">
        <v>15</v>
      </c>
      <c r="F336" t="s">
        <v>34</v>
      </c>
      <c r="G336">
        <v>962912</v>
      </c>
      <c r="H336" t="s">
        <v>391</v>
      </c>
      <c r="J336" t="s">
        <v>18</v>
      </c>
      <c r="K336">
        <v>4</v>
      </c>
      <c r="L336">
        <v>47</v>
      </c>
      <c r="M336">
        <v>98</v>
      </c>
      <c r="N336">
        <f>IF(Table1[[#This Row],[Employment_Status]]="Exited",1,0)</f>
        <v>0</v>
      </c>
      <c r="O336" t="str" cm="1">
        <f t="array" ref="O336">_xlfn.IFS(AND(Table1[[#This Row],[Age]]&gt;=22,Table1[[#This Row],[Age]]&lt;=35),"22-35",AND(Table1[[#This Row],[Age]]&gt;=36,Table1[[#This Row],[Age]]&lt;=45),"36-45",AND(Table1[[#This Row],[Age]]&gt;=46,Table1[[#This Row],[Age]]&lt;=55),"46-55")</f>
        <v>22-35</v>
      </c>
      <c r="P336">
        <f>IF(Table1[[#This Row],[Employment_Status]]="active",1,0)</f>
        <v>1</v>
      </c>
      <c r="Q336">
        <v>1</v>
      </c>
      <c r="R336" s="6">
        <f ca="1">YEARFRAC(Table1[[#This Row],[Hire_Date]],IF(Table1[[#This Row],[Employment_Status]]="Exited",Table1[[#This Row],[Exit_Date]],TODAY()))</f>
        <v>6.6583333333333332</v>
      </c>
      <c r="S336" t="str" cm="1">
        <f t="array" aca="1" ref="S336" ca="1">_xlfn.IFS(AND(Table1[[#This Row],[Tenure]]&gt;=0,Table1[[#This Row],[Tenure]]&lt;=1),"0-1",AND(Table1[[#This Row],[Tenure]]&gt;1,Table1[[#This Row],[Tenure]]&lt;=3),"1-3",AND(Table1[[#This Row],[Tenure]]&gt;3,Table1[[#This Row],[Tenure]]&lt;=5),"3-5",AND(Table1[[#This Row],[Tenure]]&gt;5,Table1[[#This Row],[Tenure]]&lt;=8),"5-8")</f>
        <v>5-8</v>
      </c>
      <c r="T336" t="str" cm="1">
        <f t="array" ref="T336">_xlfn.IFS(AND(Table1[[#This Row],[Salary]]&gt;=180000, Table1[[#This Row],[Salary]] &lt;=500000),"Low (180k-500k)", AND(Table1[[#This Row],[Salary]]&gt;500000, Table1[[#This Row],[Salary]]&lt;=800000), "Medium (501k-800k)", AND(Table1[[#This Row],[Salary]]&gt;800000, Table1[[#This Row],[Salary]]&lt;1200000), "High (801k - 1.2m)")</f>
        <v>High (801k - 1.2m)</v>
      </c>
    </row>
    <row r="337" spans="1:20" x14ac:dyDescent="0.2">
      <c r="A337">
        <v>336</v>
      </c>
      <c r="B337" t="s">
        <v>29</v>
      </c>
      <c r="C337" t="s">
        <v>20</v>
      </c>
      <c r="D337">
        <v>26</v>
      </c>
      <c r="E337" t="s">
        <v>15</v>
      </c>
      <c r="F337" t="s">
        <v>27</v>
      </c>
      <c r="G337">
        <v>470252</v>
      </c>
      <c r="H337" t="s">
        <v>150</v>
      </c>
      <c r="J337" t="s">
        <v>18</v>
      </c>
      <c r="K337">
        <v>3</v>
      </c>
      <c r="L337">
        <v>25</v>
      </c>
      <c r="M337">
        <v>75</v>
      </c>
      <c r="N337">
        <f>IF(Table1[[#This Row],[Employment_Status]]="Exited",1,0)</f>
        <v>0</v>
      </c>
      <c r="O337" t="str" cm="1">
        <f t="array" ref="O337">_xlfn.IFS(AND(Table1[[#This Row],[Age]]&gt;=22,Table1[[#This Row],[Age]]&lt;=35),"22-35",AND(Table1[[#This Row],[Age]]&gt;=36,Table1[[#This Row],[Age]]&lt;=45),"36-45",AND(Table1[[#This Row],[Age]]&gt;=46,Table1[[#This Row],[Age]]&lt;=55),"46-55")</f>
        <v>22-35</v>
      </c>
      <c r="P337">
        <f>IF(Table1[[#This Row],[Employment_Status]]="active",1,0)</f>
        <v>1</v>
      </c>
      <c r="Q337">
        <v>1</v>
      </c>
      <c r="R337" s="6">
        <f ca="1">YEARFRAC(Table1[[#This Row],[Hire_Date]],IF(Table1[[#This Row],[Employment_Status]]="Exited",Table1[[#This Row],[Exit_Date]],TODAY()))</f>
        <v>5.322222222222222</v>
      </c>
      <c r="S337" t="str" cm="1">
        <f t="array" aca="1" ref="S337" ca="1">_xlfn.IFS(AND(Table1[[#This Row],[Tenure]]&gt;=0,Table1[[#This Row],[Tenure]]&lt;=1),"0-1",AND(Table1[[#This Row],[Tenure]]&gt;1,Table1[[#This Row],[Tenure]]&lt;=3),"1-3",AND(Table1[[#This Row],[Tenure]]&gt;3,Table1[[#This Row],[Tenure]]&lt;=5),"3-5",AND(Table1[[#This Row],[Tenure]]&gt;5,Table1[[#This Row],[Tenure]]&lt;=8),"5-8")</f>
        <v>5-8</v>
      </c>
      <c r="T337" t="str" cm="1">
        <f t="array" ref="T337">_xlfn.IFS(AND(Table1[[#This Row],[Salary]]&gt;=180000, Table1[[#This Row],[Salary]] &lt;=500000),"Low (180k-500k)", AND(Table1[[#This Row],[Salary]]&gt;500000, Table1[[#This Row],[Salary]]&lt;=800000), "Medium (501k-800k)", AND(Table1[[#This Row],[Salary]]&gt;800000, Table1[[#This Row],[Salary]]&lt;1200000), "High (801k - 1.2m)")</f>
        <v>Low (180k-500k)</v>
      </c>
    </row>
    <row r="338" spans="1:20" x14ac:dyDescent="0.2">
      <c r="A338">
        <v>337</v>
      </c>
      <c r="B338" t="s">
        <v>40</v>
      </c>
      <c r="C338" t="s">
        <v>14</v>
      </c>
      <c r="D338">
        <v>36</v>
      </c>
      <c r="E338" t="s">
        <v>21</v>
      </c>
      <c r="F338" t="s">
        <v>34</v>
      </c>
      <c r="G338">
        <v>494792</v>
      </c>
      <c r="H338" t="s">
        <v>392</v>
      </c>
      <c r="I338" t="s">
        <v>393</v>
      </c>
      <c r="J338" t="s">
        <v>55</v>
      </c>
      <c r="K338">
        <v>2</v>
      </c>
      <c r="L338">
        <v>18</v>
      </c>
      <c r="M338">
        <v>98</v>
      </c>
      <c r="N338">
        <f>IF(Table1[[#This Row],[Employment_Status]]="Exited",1,0)</f>
        <v>1</v>
      </c>
      <c r="O338" t="str" cm="1">
        <f t="array" ref="O338">_xlfn.IFS(AND(Table1[[#This Row],[Age]]&gt;=22,Table1[[#This Row],[Age]]&lt;=35),"22-35",AND(Table1[[#This Row],[Age]]&gt;=36,Table1[[#This Row],[Age]]&lt;=45),"36-45",AND(Table1[[#This Row],[Age]]&gt;=46,Table1[[#This Row],[Age]]&lt;=55),"46-55")</f>
        <v>36-45</v>
      </c>
      <c r="P338">
        <f>IF(Table1[[#This Row],[Employment_Status]]="active",1,0)</f>
        <v>0</v>
      </c>
      <c r="Q338">
        <v>1</v>
      </c>
      <c r="R338" s="6">
        <f ca="1">YEARFRAC(Table1[[#This Row],[Hire_Date]],IF(Table1[[#This Row],[Employment_Status]]="Exited",Table1[[#This Row],[Exit_Date]],TODAY()))</f>
        <v>2.6833333333333331</v>
      </c>
      <c r="S338" t="str" cm="1">
        <f t="array" aca="1" ref="S338" ca="1">_xlfn.IFS(AND(Table1[[#This Row],[Tenure]]&gt;=0,Table1[[#This Row],[Tenure]]&lt;=1),"0-1",AND(Table1[[#This Row],[Tenure]]&gt;1,Table1[[#This Row],[Tenure]]&lt;=3),"1-3",AND(Table1[[#This Row],[Tenure]]&gt;3,Table1[[#This Row],[Tenure]]&lt;=5),"3-5",AND(Table1[[#This Row],[Tenure]]&gt;5,Table1[[#This Row],[Tenure]]&lt;=8),"5-8")</f>
        <v>1-3</v>
      </c>
      <c r="T338" t="str" cm="1">
        <f t="array" ref="T338">_xlfn.IFS(AND(Table1[[#This Row],[Salary]]&gt;=180000, Table1[[#This Row],[Salary]] &lt;=500000),"Low (180k-500k)", AND(Table1[[#This Row],[Salary]]&gt;500000, Table1[[#This Row],[Salary]]&lt;=800000), "Medium (501k-800k)", AND(Table1[[#This Row],[Salary]]&gt;800000, Table1[[#This Row],[Salary]]&lt;1200000), "High (801k - 1.2m)")</f>
        <v>Low (180k-500k)</v>
      </c>
    </row>
    <row r="339" spans="1:20" x14ac:dyDescent="0.2">
      <c r="A339">
        <v>338</v>
      </c>
      <c r="B339" t="s">
        <v>33</v>
      </c>
      <c r="C339" t="s">
        <v>14</v>
      </c>
      <c r="D339">
        <v>28</v>
      </c>
      <c r="E339" t="s">
        <v>49</v>
      </c>
      <c r="F339" t="s">
        <v>27</v>
      </c>
      <c r="G339">
        <v>324041</v>
      </c>
      <c r="H339" t="s">
        <v>394</v>
      </c>
      <c r="J339" t="s">
        <v>18</v>
      </c>
      <c r="K339">
        <v>5</v>
      </c>
      <c r="L339">
        <v>35</v>
      </c>
      <c r="M339">
        <v>93</v>
      </c>
      <c r="N339">
        <f>IF(Table1[[#This Row],[Employment_Status]]="Exited",1,0)</f>
        <v>0</v>
      </c>
      <c r="O339" t="str" cm="1">
        <f t="array" ref="O339">_xlfn.IFS(AND(Table1[[#This Row],[Age]]&gt;=22,Table1[[#This Row],[Age]]&lt;=35),"22-35",AND(Table1[[#This Row],[Age]]&gt;=36,Table1[[#This Row],[Age]]&lt;=45),"36-45",AND(Table1[[#This Row],[Age]]&gt;=46,Table1[[#This Row],[Age]]&lt;=55),"46-55")</f>
        <v>22-35</v>
      </c>
      <c r="P339">
        <f>IF(Table1[[#This Row],[Employment_Status]]="active",1,0)</f>
        <v>1</v>
      </c>
      <c r="Q339">
        <v>1</v>
      </c>
      <c r="R339" s="6">
        <f ca="1">YEARFRAC(Table1[[#This Row],[Hire_Date]],IF(Table1[[#This Row],[Employment_Status]]="Exited",Table1[[#This Row],[Exit_Date]],TODAY()))</f>
        <v>4.9638888888888886</v>
      </c>
      <c r="S339" t="str" cm="1">
        <f t="array" aca="1" ref="S339" ca="1">_xlfn.IFS(AND(Table1[[#This Row],[Tenure]]&gt;=0,Table1[[#This Row],[Tenure]]&lt;=1),"0-1",AND(Table1[[#This Row],[Tenure]]&gt;1,Table1[[#This Row],[Tenure]]&lt;=3),"1-3",AND(Table1[[#This Row],[Tenure]]&gt;3,Table1[[#This Row],[Tenure]]&lt;=5),"3-5",AND(Table1[[#This Row],[Tenure]]&gt;5,Table1[[#This Row],[Tenure]]&lt;=8),"5-8")</f>
        <v>3-5</v>
      </c>
      <c r="T339" t="str" cm="1">
        <f t="array" ref="T339">_xlfn.IFS(AND(Table1[[#This Row],[Salary]]&gt;=180000, Table1[[#This Row],[Salary]] &lt;=500000),"Low (180k-500k)", AND(Table1[[#This Row],[Salary]]&gt;500000, Table1[[#This Row],[Salary]]&lt;=800000), "Medium (501k-800k)", AND(Table1[[#This Row],[Salary]]&gt;800000, Table1[[#This Row],[Salary]]&lt;1200000), "High (801k - 1.2m)")</f>
        <v>Low (180k-500k)</v>
      </c>
    </row>
    <row r="340" spans="1:20" x14ac:dyDescent="0.2">
      <c r="A340">
        <v>339</v>
      </c>
      <c r="B340" t="s">
        <v>36</v>
      </c>
      <c r="C340" t="s">
        <v>20</v>
      </c>
      <c r="D340">
        <v>33</v>
      </c>
      <c r="E340" t="s">
        <v>49</v>
      </c>
      <c r="F340" t="s">
        <v>27</v>
      </c>
      <c r="G340">
        <v>581754</v>
      </c>
      <c r="H340" t="s">
        <v>395</v>
      </c>
      <c r="J340" t="s">
        <v>18</v>
      </c>
      <c r="K340">
        <v>4</v>
      </c>
      <c r="L340">
        <v>47</v>
      </c>
      <c r="M340">
        <v>68</v>
      </c>
      <c r="N340">
        <f>IF(Table1[[#This Row],[Employment_Status]]="Exited",1,0)</f>
        <v>0</v>
      </c>
      <c r="O340" t="str" cm="1">
        <f t="array" ref="O340">_xlfn.IFS(AND(Table1[[#This Row],[Age]]&gt;=22,Table1[[#This Row],[Age]]&lt;=35),"22-35",AND(Table1[[#This Row],[Age]]&gt;=36,Table1[[#This Row],[Age]]&lt;=45),"36-45",AND(Table1[[#This Row],[Age]]&gt;=46,Table1[[#This Row],[Age]]&lt;=55),"46-55")</f>
        <v>22-35</v>
      </c>
      <c r="P340">
        <f>IF(Table1[[#This Row],[Employment_Status]]="active",1,0)</f>
        <v>1</v>
      </c>
      <c r="Q340">
        <v>1</v>
      </c>
      <c r="R340" s="6">
        <f ca="1">YEARFRAC(Table1[[#This Row],[Hire_Date]],IF(Table1[[#This Row],[Employment_Status]]="Exited",Table1[[#This Row],[Exit_Date]],TODAY()))</f>
        <v>5.3638888888888889</v>
      </c>
      <c r="S340" t="str" cm="1">
        <f t="array" aca="1" ref="S340" ca="1">_xlfn.IFS(AND(Table1[[#This Row],[Tenure]]&gt;=0,Table1[[#This Row],[Tenure]]&lt;=1),"0-1",AND(Table1[[#This Row],[Tenure]]&gt;1,Table1[[#This Row],[Tenure]]&lt;=3),"1-3",AND(Table1[[#This Row],[Tenure]]&gt;3,Table1[[#This Row],[Tenure]]&lt;=5),"3-5",AND(Table1[[#This Row],[Tenure]]&gt;5,Table1[[#This Row],[Tenure]]&lt;=8),"5-8")</f>
        <v>5-8</v>
      </c>
      <c r="T340" t="str" cm="1">
        <f t="array" ref="T340">_xlfn.IFS(AND(Table1[[#This Row],[Salary]]&gt;=180000, Table1[[#This Row],[Salary]] &lt;=500000),"Low (180k-500k)", AND(Table1[[#This Row],[Salary]]&gt;500000, Table1[[#This Row],[Salary]]&lt;=800000), "Medium (501k-800k)", AND(Table1[[#This Row],[Salary]]&gt;800000, Table1[[#This Row],[Salary]]&lt;1200000), "High (801k - 1.2m)")</f>
        <v>Medium (501k-800k)</v>
      </c>
    </row>
    <row r="341" spans="1:20" x14ac:dyDescent="0.2">
      <c r="A341">
        <v>340</v>
      </c>
      <c r="B341" t="s">
        <v>31</v>
      </c>
      <c r="C341" t="s">
        <v>20</v>
      </c>
      <c r="D341">
        <v>52</v>
      </c>
      <c r="E341" t="s">
        <v>15</v>
      </c>
      <c r="F341" t="s">
        <v>34</v>
      </c>
      <c r="G341">
        <v>747323</v>
      </c>
      <c r="H341" t="s">
        <v>372</v>
      </c>
      <c r="J341" t="s">
        <v>18</v>
      </c>
      <c r="K341">
        <v>4</v>
      </c>
      <c r="L341">
        <v>50</v>
      </c>
      <c r="M341">
        <v>67</v>
      </c>
      <c r="N341">
        <f>IF(Table1[[#This Row],[Employment_Status]]="Exited",1,0)</f>
        <v>0</v>
      </c>
      <c r="O341" t="str" cm="1">
        <f t="array" ref="O341">_xlfn.IFS(AND(Table1[[#This Row],[Age]]&gt;=22,Table1[[#This Row],[Age]]&lt;=35),"22-35",AND(Table1[[#This Row],[Age]]&gt;=36,Table1[[#This Row],[Age]]&lt;=45),"36-45",AND(Table1[[#This Row],[Age]]&gt;=46,Table1[[#This Row],[Age]]&lt;=55),"46-55")</f>
        <v>46-55</v>
      </c>
      <c r="P341">
        <f>IF(Table1[[#This Row],[Employment_Status]]="active",1,0)</f>
        <v>1</v>
      </c>
      <c r="Q341">
        <v>1</v>
      </c>
      <c r="R341" s="6">
        <f ca="1">YEARFRAC(Table1[[#This Row],[Hire_Date]],IF(Table1[[#This Row],[Employment_Status]]="Exited",Table1[[#This Row],[Exit_Date]],TODAY()))</f>
        <v>2.4527777777777779</v>
      </c>
      <c r="S341" t="str" cm="1">
        <f t="array" aca="1" ref="S341" ca="1">_xlfn.IFS(AND(Table1[[#This Row],[Tenure]]&gt;=0,Table1[[#This Row],[Tenure]]&lt;=1),"0-1",AND(Table1[[#This Row],[Tenure]]&gt;1,Table1[[#This Row],[Tenure]]&lt;=3),"1-3",AND(Table1[[#This Row],[Tenure]]&gt;3,Table1[[#This Row],[Tenure]]&lt;=5),"3-5",AND(Table1[[#This Row],[Tenure]]&gt;5,Table1[[#This Row],[Tenure]]&lt;=8),"5-8")</f>
        <v>1-3</v>
      </c>
      <c r="T341" t="str" cm="1">
        <f t="array" ref="T341">_xlfn.IFS(AND(Table1[[#This Row],[Salary]]&gt;=180000, Table1[[#This Row],[Salary]] &lt;=500000),"Low (180k-500k)", AND(Table1[[#This Row],[Salary]]&gt;500000, Table1[[#This Row],[Salary]]&lt;=800000), "Medium (501k-800k)", AND(Table1[[#This Row],[Salary]]&gt;800000, Table1[[#This Row],[Salary]]&lt;1200000), "High (801k - 1.2m)")</f>
        <v>Medium (501k-800k)</v>
      </c>
    </row>
    <row r="342" spans="1:20" x14ac:dyDescent="0.2">
      <c r="A342">
        <v>341</v>
      </c>
      <c r="B342" t="s">
        <v>47</v>
      </c>
      <c r="C342" t="s">
        <v>14</v>
      </c>
      <c r="D342">
        <v>52</v>
      </c>
      <c r="E342" t="s">
        <v>15</v>
      </c>
      <c r="F342" t="s">
        <v>16</v>
      </c>
      <c r="G342">
        <v>1050507</v>
      </c>
      <c r="H342" t="s">
        <v>396</v>
      </c>
      <c r="J342" t="s">
        <v>18</v>
      </c>
      <c r="K342">
        <v>4</v>
      </c>
      <c r="L342">
        <v>25</v>
      </c>
      <c r="M342">
        <v>94</v>
      </c>
      <c r="N342">
        <f>IF(Table1[[#This Row],[Employment_Status]]="Exited",1,0)</f>
        <v>0</v>
      </c>
      <c r="O342" t="str" cm="1">
        <f t="array" ref="O342">_xlfn.IFS(AND(Table1[[#This Row],[Age]]&gt;=22,Table1[[#This Row],[Age]]&lt;=35),"22-35",AND(Table1[[#This Row],[Age]]&gt;=36,Table1[[#This Row],[Age]]&lt;=45),"36-45",AND(Table1[[#This Row],[Age]]&gt;=46,Table1[[#This Row],[Age]]&lt;=55),"46-55")</f>
        <v>46-55</v>
      </c>
      <c r="P342">
        <f>IF(Table1[[#This Row],[Employment_Status]]="active",1,0)</f>
        <v>1</v>
      </c>
      <c r="Q342">
        <v>1</v>
      </c>
      <c r="R342" s="6">
        <f ca="1">YEARFRAC(Table1[[#This Row],[Hire_Date]],IF(Table1[[#This Row],[Employment_Status]]="Exited",Table1[[#This Row],[Exit_Date]],TODAY()))</f>
        <v>2.7722222222222221</v>
      </c>
      <c r="S342" t="str" cm="1">
        <f t="array" aca="1" ref="S342" ca="1">_xlfn.IFS(AND(Table1[[#This Row],[Tenure]]&gt;=0,Table1[[#This Row],[Tenure]]&lt;=1),"0-1",AND(Table1[[#This Row],[Tenure]]&gt;1,Table1[[#This Row],[Tenure]]&lt;=3),"1-3",AND(Table1[[#This Row],[Tenure]]&gt;3,Table1[[#This Row],[Tenure]]&lt;=5),"3-5",AND(Table1[[#This Row],[Tenure]]&gt;5,Table1[[#This Row],[Tenure]]&lt;=8),"5-8")</f>
        <v>1-3</v>
      </c>
      <c r="T342" t="str" cm="1">
        <f t="array" ref="T342">_xlfn.IFS(AND(Table1[[#This Row],[Salary]]&gt;=180000, Table1[[#This Row],[Salary]] &lt;=500000),"Low (180k-500k)", AND(Table1[[#This Row],[Salary]]&gt;500000, Table1[[#This Row],[Salary]]&lt;=800000), "Medium (501k-800k)", AND(Table1[[#This Row],[Salary]]&gt;800000, Table1[[#This Row],[Salary]]&lt;1200000), "High (801k - 1.2m)")</f>
        <v>High (801k - 1.2m)</v>
      </c>
    </row>
    <row r="343" spans="1:20" x14ac:dyDescent="0.2">
      <c r="A343">
        <v>342</v>
      </c>
      <c r="B343" t="s">
        <v>26</v>
      </c>
      <c r="C343" t="s">
        <v>20</v>
      </c>
      <c r="D343">
        <v>53</v>
      </c>
      <c r="E343" t="s">
        <v>15</v>
      </c>
      <c r="F343" t="s">
        <v>22</v>
      </c>
      <c r="G343">
        <v>477310</v>
      </c>
      <c r="H343" t="s">
        <v>397</v>
      </c>
      <c r="J343" t="s">
        <v>18</v>
      </c>
      <c r="K343">
        <v>4</v>
      </c>
      <c r="L343">
        <v>3</v>
      </c>
      <c r="M343">
        <v>93</v>
      </c>
      <c r="N343">
        <f>IF(Table1[[#This Row],[Employment_Status]]="Exited",1,0)</f>
        <v>0</v>
      </c>
      <c r="O343" t="str" cm="1">
        <f t="array" ref="O343">_xlfn.IFS(AND(Table1[[#This Row],[Age]]&gt;=22,Table1[[#This Row],[Age]]&lt;=35),"22-35",AND(Table1[[#This Row],[Age]]&gt;=36,Table1[[#This Row],[Age]]&lt;=45),"36-45",AND(Table1[[#This Row],[Age]]&gt;=46,Table1[[#This Row],[Age]]&lt;=55),"46-55")</f>
        <v>46-55</v>
      </c>
      <c r="P343">
        <f>IF(Table1[[#This Row],[Employment_Status]]="active",1,0)</f>
        <v>1</v>
      </c>
      <c r="Q343">
        <v>1</v>
      </c>
      <c r="R343" s="6">
        <f ca="1">YEARFRAC(Table1[[#This Row],[Hire_Date]],IF(Table1[[#This Row],[Employment_Status]]="Exited",Table1[[#This Row],[Exit_Date]],TODAY()))</f>
        <v>4.7166666666666668</v>
      </c>
      <c r="S343" t="str" cm="1">
        <f t="array" aca="1" ref="S343" ca="1">_xlfn.IFS(AND(Table1[[#This Row],[Tenure]]&gt;=0,Table1[[#This Row],[Tenure]]&lt;=1),"0-1",AND(Table1[[#This Row],[Tenure]]&gt;1,Table1[[#This Row],[Tenure]]&lt;=3),"1-3",AND(Table1[[#This Row],[Tenure]]&gt;3,Table1[[#This Row],[Tenure]]&lt;=5),"3-5",AND(Table1[[#This Row],[Tenure]]&gt;5,Table1[[#This Row],[Tenure]]&lt;=8),"5-8")</f>
        <v>3-5</v>
      </c>
      <c r="T343" t="str" cm="1">
        <f t="array" ref="T343">_xlfn.IFS(AND(Table1[[#This Row],[Salary]]&gt;=180000, Table1[[#This Row],[Salary]] &lt;=500000),"Low (180k-500k)", AND(Table1[[#This Row],[Salary]]&gt;500000, Table1[[#This Row],[Salary]]&lt;=800000), "Medium (501k-800k)", AND(Table1[[#This Row],[Salary]]&gt;800000, Table1[[#This Row],[Salary]]&lt;1200000), "High (801k - 1.2m)")</f>
        <v>Low (180k-500k)</v>
      </c>
    </row>
    <row r="344" spans="1:20" x14ac:dyDescent="0.2">
      <c r="A344">
        <v>343</v>
      </c>
      <c r="B344" t="s">
        <v>29</v>
      </c>
      <c r="C344" t="s">
        <v>14</v>
      </c>
      <c r="D344">
        <v>26</v>
      </c>
      <c r="E344" t="s">
        <v>21</v>
      </c>
      <c r="F344" t="s">
        <v>34</v>
      </c>
      <c r="G344">
        <v>270970</v>
      </c>
      <c r="H344" t="s">
        <v>398</v>
      </c>
      <c r="J344" t="s">
        <v>18</v>
      </c>
      <c r="K344">
        <v>5</v>
      </c>
      <c r="L344">
        <v>38</v>
      </c>
      <c r="M344">
        <v>86</v>
      </c>
      <c r="N344">
        <f>IF(Table1[[#This Row],[Employment_Status]]="Exited",1,0)</f>
        <v>0</v>
      </c>
      <c r="O344" t="str" cm="1">
        <f t="array" ref="O344">_xlfn.IFS(AND(Table1[[#This Row],[Age]]&gt;=22,Table1[[#This Row],[Age]]&lt;=35),"22-35",AND(Table1[[#This Row],[Age]]&gt;=36,Table1[[#This Row],[Age]]&lt;=45),"36-45",AND(Table1[[#This Row],[Age]]&gt;=46,Table1[[#This Row],[Age]]&lt;=55),"46-55")</f>
        <v>22-35</v>
      </c>
      <c r="P344">
        <f>IF(Table1[[#This Row],[Employment_Status]]="active",1,0)</f>
        <v>1</v>
      </c>
      <c r="Q344">
        <v>1</v>
      </c>
      <c r="R344" s="6">
        <f ca="1">YEARFRAC(Table1[[#This Row],[Hire_Date]],IF(Table1[[#This Row],[Employment_Status]]="Exited",Table1[[#This Row],[Exit_Date]],TODAY()))</f>
        <v>2.6861111111111109</v>
      </c>
      <c r="S344" t="str" cm="1">
        <f t="array" aca="1" ref="S344" ca="1">_xlfn.IFS(AND(Table1[[#This Row],[Tenure]]&gt;=0,Table1[[#This Row],[Tenure]]&lt;=1),"0-1",AND(Table1[[#This Row],[Tenure]]&gt;1,Table1[[#This Row],[Tenure]]&lt;=3),"1-3",AND(Table1[[#This Row],[Tenure]]&gt;3,Table1[[#This Row],[Tenure]]&lt;=5),"3-5",AND(Table1[[#This Row],[Tenure]]&gt;5,Table1[[#This Row],[Tenure]]&lt;=8),"5-8")</f>
        <v>1-3</v>
      </c>
      <c r="T344" t="str" cm="1">
        <f t="array" ref="T344">_xlfn.IFS(AND(Table1[[#This Row],[Salary]]&gt;=180000, Table1[[#This Row],[Salary]] &lt;=500000),"Low (180k-500k)", AND(Table1[[#This Row],[Salary]]&gt;500000, Table1[[#This Row],[Salary]]&lt;=800000), "Medium (501k-800k)", AND(Table1[[#This Row],[Salary]]&gt;800000, Table1[[#This Row],[Salary]]&lt;1200000), "High (801k - 1.2m)")</f>
        <v>Low (180k-500k)</v>
      </c>
    </row>
    <row r="345" spans="1:20" x14ac:dyDescent="0.2">
      <c r="A345">
        <v>344</v>
      </c>
      <c r="B345" t="s">
        <v>40</v>
      </c>
      <c r="C345" t="s">
        <v>20</v>
      </c>
      <c r="D345">
        <v>47</v>
      </c>
      <c r="E345" t="s">
        <v>15</v>
      </c>
      <c r="F345" t="s">
        <v>27</v>
      </c>
      <c r="G345">
        <v>1077375</v>
      </c>
      <c r="H345" t="s">
        <v>399</v>
      </c>
      <c r="I345" t="s">
        <v>400</v>
      </c>
      <c r="J345" t="s">
        <v>55</v>
      </c>
      <c r="K345">
        <v>2</v>
      </c>
      <c r="L345">
        <v>13</v>
      </c>
      <c r="M345">
        <v>71</v>
      </c>
      <c r="N345">
        <f>IF(Table1[[#This Row],[Employment_Status]]="Exited",1,0)</f>
        <v>1</v>
      </c>
      <c r="O345" t="str" cm="1">
        <f t="array" ref="O345">_xlfn.IFS(AND(Table1[[#This Row],[Age]]&gt;=22,Table1[[#This Row],[Age]]&lt;=35),"22-35",AND(Table1[[#This Row],[Age]]&gt;=36,Table1[[#This Row],[Age]]&lt;=45),"36-45",AND(Table1[[#This Row],[Age]]&gt;=46,Table1[[#This Row],[Age]]&lt;=55),"46-55")</f>
        <v>46-55</v>
      </c>
      <c r="P345">
        <f>IF(Table1[[#This Row],[Employment_Status]]="active",1,0)</f>
        <v>0</v>
      </c>
      <c r="Q345">
        <v>1</v>
      </c>
      <c r="R345" s="6">
        <f ca="1">YEARFRAC(Table1[[#This Row],[Hire_Date]],IF(Table1[[#This Row],[Employment_Status]]="Exited",Table1[[#This Row],[Exit_Date]],TODAY()))</f>
        <v>2.2722222222222221</v>
      </c>
      <c r="S345" t="str" cm="1">
        <f t="array" aca="1" ref="S345" ca="1">_xlfn.IFS(AND(Table1[[#This Row],[Tenure]]&gt;=0,Table1[[#This Row],[Tenure]]&lt;=1),"0-1",AND(Table1[[#This Row],[Tenure]]&gt;1,Table1[[#This Row],[Tenure]]&lt;=3),"1-3",AND(Table1[[#This Row],[Tenure]]&gt;3,Table1[[#This Row],[Tenure]]&lt;=5),"3-5",AND(Table1[[#This Row],[Tenure]]&gt;5,Table1[[#This Row],[Tenure]]&lt;=8),"5-8")</f>
        <v>1-3</v>
      </c>
      <c r="T345" t="str" cm="1">
        <f t="array" ref="T345">_xlfn.IFS(AND(Table1[[#This Row],[Salary]]&gt;=180000, Table1[[#This Row],[Salary]] &lt;=500000),"Low (180k-500k)", AND(Table1[[#This Row],[Salary]]&gt;500000, Table1[[#This Row],[Salary]]&lt;=800000), "Medium (501k-800k)", AND(Table1[[#This Row],[Salary]]&gt;800000, Table1[[#This Row],[Salary]]&lt;1200000), "High (801k - 1.2m)")</f>
        <v>High (801k - 1.2m)</v>
      </c>
    </row>
    <row r="346" spans="1:20" x14ac:dyDescent="0.2">
      <c r="A346">
        <v>345</v>
      </c>
      <c r="B346" t="s">
        <v>13</v>
      </c>
      <c r="C346" t="s">
        <v>20</v>
      </c>
      <c r="D346">
        <v>55</v>
      </c>
      <c r="E346" t="s">
        <v>15</v>
      </c>
      <c r="F346" t="s">
        <v>16</v>
      </c>
      <c r="G346">
        <v>412670</v>
      </c>
      <c r="H346" t="s">
        <v>173</v>
      </c>
      <c r="J346" t="s">
        <v>18</v>
      </c>
      <c r="K346">
        <v>1</v>
      </c>
      <c r="L346">
        <v>7</v>
      </c>
      <c r="M346">
        <v>89</v>
      </c>
      <c r="N346">
        <f>IF(Table1[[#This Row],[Employment_Status]]="Exited",1,0)</f>
        <v>0</v>
      </c>
      <c r="O346" t="str" cm="1">
        <f t="array" ref="O346">_xlfn.IFS(AND(Table1[[#This Row],[Age]]&gt;=22,Table1[[#This Row],[Age]]&lt;=35),"22-35",AND(Table1[[#This Row],[Age]]&gt;=36,Table1[[#This Row],[Age]]&lt;=45),"36-45",AND(Table1[[#This Row],[Age]]&gt;=46,Table1[[#This Row],[Age]]&lt;=55),"46-55")</f>
        <v>46-55</v>
      </c>
      <c r="P346">
        <f>IF(Table1[[#This Row],[Employment_Status]]="active",1,0)</f>
        <v>1</v>
      </c>
      <c r="Q346">
        <v>1</v>
      </c>
      <c r="R346" s="6">
        <f ca="1">YEARFRAC(Table1[[#This Row],[Hire_Date]],IF(Table1[[#This Row],[Employment_Status]]="Exited",Table1[[#This Row],[Exit_Date]],TODAY()))</f>
        <v>2.8722222222222222</v>
      </c>
      <c r="S346" t="str" cm="1">
        <f t="array" aca="1" ref="S346" ca="1">_xlfn.IFS(AND(Table1[[#This Row],[Tenure]]&gt;=0,Table1[[#This Row],[Tenure]]&lt;=1),"0-1",AND(Table1[[#This Row],[Tenure]]&gt;1,Table1[[#This Row],[Tenure]]&lt;=3),"1-3",AND(Table1[[#This Row],[Tenure]]&gt;3,Table1[[#This Row],[Tenure]]&lt;=5),"3-5",AND(Table1[[#This Row],[Tenure]]&gt;5,Table1[[#This Row],[Tenure]]&lt;=8),"5-8")</f>
        <v>1-3</v>
      </c>
      <c r="T346" t="str" cm="1">
        <f t="array" ref="T346">_xlfn.IFS(AND(Table1[[#This Row],[Salary]]&gt;=180000, Table1[[#This Row],[Salary]] &lt;=500000),"Low (180k-500k)", AND(Table1[[#This Row],[Salary]]&gt;500000, Table1[[#This Row],[Salary]]&lt;=800000), "Medium (501k-800k)", AND(Table1[[#This Row],[Salary]]&gt;800000, Table1[[#This Row],[Salary]]&lt;1200000), "High (801k - 1.2m)")</f>
        <v>Low (180k-500k)</v>
      </c>
    </row>
    <row r="347" spans="1:20" x14ac:dyDescent="0.2">
      <c r="A347">
        <v>346</v>
      </c>
      <c r="B347" t="s">
        <v>75</v>
      </c>
      <c r="C347" t="s">
        <v>14</v>
      </c>
      <c r="D347">
        <v>48</v>
      </c>
      <c r="E347" t="s">
        <v>21</v>
      </c>
      <c r="F347" t="s">
        <v>16</v>
      </c>
      <c r="G347">
        <v>460383</v>
      </c>
      <c r="H347" t="s">
        <v>401</v>
      </c>
      <c r="J347" t="s">
        <v>18</v>
      </c>
      <c r="K347">
        <v>1</v>
      </c>
      <c r="L347">
        <v>29</v>
      </c>
      <c r="M347">
        <v>71</v>
      </c>
      <c r="N347">
        <f>IF(Table1[[#This Row],[Employment_Status]]="Exited",1,0)</f>
        <v>0</v>
      </c>
      <c r="O347" t="str" cm="1">
        <f t="array" ref="O347">_xlfn.IFS(AND(Table1[[#This Row],[Age]]&gt;=22,Table1[[#This Row],[Age]]&lt;=35),"22-35",AND(Table1[[#This Row],[Age]]&gt;=36,Table1[[#This Row],[Age]]&lt;=45),"36-45",AND(Table1[[#This Row],[Age]]&gt;=46,Table1[[#This Row],[Age]]&lt;=55),"46-55")</f>
        <v>46-55</v>
      </c>
      <c r="P347">
        <f>IF(Table1[[#This Row],[Employment_Status]]="active",1,0)</f>
        <v>1</v>
      </c>
      <c r="Q347">
        <v>1</v>
      </c>
      <c r="R347" s="6">
        <f ca="1">YEARFRAC(Table1[[#This Row],[Hire_Date]],IF(Table1[[#This Row],[Employment_Status]]="Exited",Table1[[#This Row],[Exit_Date]],TODAY()))</f>
        <v>3.7722222222222221</v>
      </c>
      <c r="S347" t="str" cm="1">
        <f t="array" aca="1" ref="S347" ca="1">_xlfn.IFS(AND(Table1[[#This Row],[Tenure]]&gt;=0,Table1[[#This Row],[Tenure]]&lt;=1),"0-1",AND(Table1[[#This Row],[Tenure]]&gt;1,Table1[[#This Row],[Tenure]]&lt;=3),"1-3",AND(Table1[[#This Row],[Tenure]]&gt;3,Table1[[#This Row],[Tenure]]&lt;=5),"3-5",AND(Table1[[#This Row],[Tenure]]&gt;5,Table1[[#This Row],[Tenure]]&lt;=8),"5-8")</f>
        <v>3-5</v>
      </c>
      <c r="T347" t="str" cm="1">
        <f t="array" ref="T347">_xlfn.IFS(AND(Table1[[#This Row],[Salary]]&gt;=180000, Table1[[#This Row],[Salary]] &lt;=500000),"Low (180k-500k)", AND(Table1[[#This Row],[Salary]]&gt;500000, Table1[[#This Row],[Salary]]&lt;=800000), "Medium (501k-800k)", AND(Table1[[#This Row],[Salary]]&gt;800000, Table1[[#This Row],[Salary]]&lt;1200000), "High (801k - 1.2m)")</f>
        <v>Low (180k-500k)</v>
      </c>
    </row>
    <row r="348" spans="1:20" x14ac:dyDescent="0.2">
      <c r="A348">
        <v>347</v>
      </c>
      <c r="B348" t="s">
        <v>58</v>
      </c>
      <c r="C348" t="s">
        <v>20</v>
      </c>
      <c r="D348">
        <v>50</v>
      </c>
      <c r="E348" t="s">
        <v>15</v>
      </c>
      <c r="F348" t="s">
        <v>16</v>
      </c>
      <c r="G348">
        <v>1117720</v>
      </c>
      <c r="H348" t="s">
        <v>402</v>
      </c>
      <c r="J348" t="s">
        <v>18</v>
      </c>
      <c r="K348">
        <v>3</v>
      </c>
      <c r="L348">
        <v>16</v>
      </c>
      <c r="M348">
        <v>68</v>
      </c>
      <c r="N348">
        <f>IF(Table1[[#This Row],[Employment_Status]]="Exited",1,0)</f>
        <v>0</v>
      </c>
      <c r="O348" t="str" cm="1">
        <f t="array" ref="O348">_xlfn.IFS(AND(Table1[[#This Row],[Age]]&gt;=22,Table1[[#This Row],[Age]]&lt;=35),"22-35",AND(Table1[[#This Row],[Age]]&gt;=36,Table1[[#This Row],[Age]]&lt;=45),"36-45",AND(Table1[[#This Row],[Age]]&gt;=46,Table1[[#This Row],[Age]]&lt;=55),"46-55")</f>
        <v>46-55</v>
      </c>
      <c r="P348">
        <f>IF(Table1[[#This Row],[Employment_Status]]="active",1,0)</f>
        <v>1</v>
      </c>
      <c r="Q348">
        <v>1</v>
      </c>
      <c r="R348" s="6">
        <f ca="1">YEARFRAC(Table1[[#This Row],[Hire_Date]],IF(Table1[[#This Row],[Employment_Status]]="Exited",Table1[[#This Row],[Exit_Date]],TODAY()))</f>
        <v>4.7611111111111111</v>
      </c>
      <c r="S348" t="str" cm="1">
        <f t="array" aca="1" ref="S348" ca="1">_xlfn.IFS(AND(Table1[[#This Row],[Tenure]]&gt;=0,Table1[[#This Row],[Tenure]]&lt;=1),"0-1",AND(Table1[[#This Row],[Tenure]]&gt;1,Table1[[#This Row],[Tenure]]&lt;=3),"1-3",AND(Table1[[#This Row],[Tenure]]&gt;3,Table1[[#This Row],[Tenure]]&lt;=5),"3-5",AND(Table1[[#This Row],[Tenure]]&gt;5,Table1[[#This Row],[Tenure]]&lt;=8),"5-8")</f>
        <v>3-5</v>
      </c>
      <c r="T348" t="str" cm="1">
        <f t="array" ref="T348">_xlfn.IFS(AND(Table1[[#This Row],[Salary]]&gt;=180000, Table1[[#This Row],[Salary]] &lt;=500000),"Low (180k-500k)", AND(Table1[[#This Row],[Salary]]&gt;500000, Table1[[#This Row],[Salary]]&lt;=800000), "Medium (501k-800k)", AND(Table1[[#This Row],[Salary]]&gt;800000, Table1[[#This Row],[Salary]]&lt;1200000), "High (801k - 1.2m)")</f>
        <v>High (801k - 1.2m)</v>
      </c>
    </row>
    <row r="349" spans="1:20" x14ac:dyDescent="0.2">
      <c r="A349">
        <v>348</v>
      </c>
      <c r="B349" t="s">
        <v>47</v>
      </c>
      <c r="C349" t="s">
        <v>14</v>
      </c>
      <c r="D349">
        <v>46</v>
      </c>
      <c r="E349" t="s">
        <v>15</v>
      </c>
      <c r="F349" t="s">
        <v>16</v>
      </c>
      <c r="G349">
        <v>432577</v>
      </c>
      <c r="H349" t="s">
        <v>403</v>
      </c>
      <c r="J349" t="s">
        <v>18</v>
      </c>
      <c r="K349">
        <v>4</v>
      </c>
      <c r="L349">
        <v>40</v>
      </c>
      <c r="M349">
        <v>94</v>
      </c>
      <c r="N349">
        <f>IF(Table1[[#This Row],[Employment_Status]]="Exited",1,0)</f>
        <v>0</v>
      </c>
      <c r="O349" t="str" cm="1">
        <f t="array" ref="O349">_xlfn.IFS(AND(Table1[[#This Row],[Age]]&gt;=22,Table1[[#This Row],[Age]]&lt;=35),"22-35",AND(Table1[[#This Row],[Age]]&gt;=36,Table1[[#This Row],[Age]]&lt;=45),"36-45",AND(Table1[[#This Row],[Age]]&gt;=46,Table1[[#This Row],[Age]]&lt;=55),"46-55")</f>
        <v>46-55</v>
      </c>
      <c r="P349">
        <f>IF(Table1[[#This Row],[Employment_Status]]="active",1,0)</f>
        <v>1</v>
      </c>
      <c r="Q349">
        <v>1</v>
      </c>
      <c r="R349" s="6">
        <f ca="1">YEARFRAC(Table1[[#This Row],[Hire_Date]],IF(Table1[[#This Row],[Employment_Status]]="Exited",Table1[[#This Row],[Exit_Date]],TODAY()))</f>
        <v>3.6055555555555556</v>
      </c>
      <c r="S349" t="str" cm="1">
        <f t="array" aca="1" ref="S349" ca="1">_xlfn.IFS(AND(Table1[[#This Row],[Tenure]]&gt;=0,Table1[[#This Row],[Tenure]]&lt;=1),"0-1",AND(Table1[[#This Row],[Tenure]]&gt;1,Table1[[#This Row],[Tenure]]&lt;=3),"1-3",AND(Table1[[#This Row],[Tenure]]&gt;3,Table1[[#This Row],[Tenure]]&lt;=5),"3-5",AND(Table1[[#This Row],[Tenure]]&gt;5,Table1[[#This Row],[Tenure]]&lt;=8),"5-8")</f>
        <v>3-5</v>
      </c>
      <c r="T349" t="str" cm="1">
        <f t="array" ref="T349">_xlfn.IFS(AND(Table1[[#This Row],[Salary]]&gt;=180000, Table1[[#This Row],[Salary]] &lt;=500000),"Low (180k-500k)", AND(Table1[[#This Row],[Salary]]&gt;500000, Table1[[#This Row],[Salary]]&lt;=800000), "Medium (501k-800k)", AND(Table1[[#This Row],[Salary]]&gt;800000, Table1[[#This Row],[Salary]]&lt;1200000), "High (801k - 1.2m)")</f>
        <v>Low (180k-500k)</v>
      </c>
    </row>
    <row r="350" spans="1:20" x14ac:dyDescent="0.2">
      <c r="A350">
        <v>349</v>
      </c>
      <c r="B350" t="s">
        <v>29</v>
      </c>
      <c r="C350" t="s">
        <v>14</v>
      </c>
      <c r="D350">
        <v>50</v>
      </c>
      <c r="E350" t="s">
        <v>61</v>
      </c>
      <c r="F350" t="s">
        <v>34</v>
      </c>
      <c r="G350">
        <v>218856</v>
      </c>
      <c r="H350" t="s">
        <v>404</v>
      </c>
      <c r="I350" t="s">
        <v>405</v>
      </c>
      <c r="J350" t="s">
        <v>55</v>
      </c>
      <c r="K350">
        <v>1</v>
      </c>
      <c r="L350">
        <v>26</v>
      </c>
      <c r="M350">
        <v>79</v>
      </c>
      <c r="N350">
        <f>IF(Table1[[#This Row],[Employment_Status]]="Exited",1,0)</f>
        <v>1</v>
      </c>
      <c r="O350" t="str" cm="1">
        <f t="array" ref="O350">_xlfn.IFS(AND(Table1[[#This Row],[Age]]&gt;=22,Table1[[#This Row],[Age]]&lt;=35),"22-35",AND(Table1[[#This Row],[Age]]&gt;=36,Table1[[#This Row],[Age]]&lt;=45),"36-45",AND(Table1[[#This Row],[Age]]&gt;=46,Table1[[#This Row],[Age]]&lt;=55),"46-55")</f>
        <v>46-55</v>
      </c>
      <c r="P350">
        <f>IF(Table1[[#This Row],[Employment_Status]]="active",1,0)</f>
        <v>0</v>
      </c>
      <c r="Q350">
        <v>1</v>
      </c>
      <c r="R350" s="6">
        <f ca="1">YEARFRAC(Table1[[#This Row],[Hire_Date]],IF(Table1[[#This Row],[Employment_Status]]="Exited",Table1[[#This Row],[Exit_Date]],TODAY()))</f>
        <v>3.0055555555555555</v>
      </c>
      <c r="S350" t="str" cm="1">
        <f t="array" aca="1" ref="S350" ca="1">_xlfn.IFS(AND(Table1[[#This Row],[Tenure]]&gt;=0,Table1[[#This Row],[Tenure]]&lt;=1),"0-1",AND(Table1[[#This Row],[Tenure]]&gt;1,Table1[[#This Row],[Tenure]]&lt;=3),"1-3",AND(Table1[[#This Row],[Tenure]]&gt;3,Table1[[#This Row],[Tenure]]&lt;=5),"3-5",AND(Table1[[#This Row],[Tenure]]&gt;5,Table1[[#This Row],[Tenure]]&lt;=8),"5-8")</f>
        <v>3-5</v>
      </c>
      <c r="T350" t="str" cm="1">
        <f t="array" ref="T350">_xlfn.IFS(AND(Table1[[#This Row],[Salary]]&gt;=180000, Table1[[#This Row],[Salary]] &lt;=500000),"Low (180k-500k)", AND(Table1[[#This Row],[Salary]]&gt;500000, Table1[[#This Row],[Salary]]&lt;=800000), "Medium (501k-800k)", AND(Table1[[#This Row],[Salary]]&gt;800000, Table1[[#This Row],[Salary]]&lt;1200000), "High (801k - 1.2m)")</f>
        <v>Low (180k-500k)</v>
      </c>
    </row>
    <row r="351" spans="1:20" x14ac:dyDescent="0.2">
      <c r="A351">
        <v>350</v>
      </c>
      <c r="B351" t="s">
        <v>13</v>
      </c>
      <c r="C351" t="s">
        <v>14</v>
      </c>
      <c r="D351">
        <v>32</v>
      </c>
      <c r="E351" t="s">
        <v>15</v>
      </c>
      <c r="F351" t="s">
        <v>16</v>
      </c>
      <c r="G351">
        <v>523145</v>
      </c>
      <c r="H351" t="s">
        <v>406</v>
      </c>
      <c r="J351" t="s">
        <v>18</v>
      </c>
      <c r="K351">
        <v>3</v>
      </c>
      <c r="L351">
        <v>15</v>
      </c>
      <c r="M351">
        <v>78</v>
      </c>
      <c r="N351">
        <f>IF(Table1[[#This Row],[Employment_Status]]="Exited",1,0)</f>
        <v>0</v>
      </c>
      <c r="O351" t="str" cm="1">
        <f t="array" ref="O351">_xlfn.IFS(AND(Table1[[#This Row],[Age]]&gt;=22,Table1[[#This Row],[Age]]&lt;=35),"22-35",AND(Table1[[#This Row],[Age]]&gt;=36,Table1[[#This Row],[Age]]&lt;=45),"36-45",AND(Table1[[#This Row],[Age]]&gt;=46,Table1[[#This Row],[Age]]&lt;=55),"46-55")</f>
        <v>22-35</v>
      </c>
      <c r="P351">
        <f>IF(Table1[[#This Row],[Employment_Status]]="active",1,0)</f>
        <v>1</v>
      </c>
      <c r="Q351">
        <v>1</v>
      </c>
      <c r="R351" s="6">
        <f ca="1">YEARFRAC(Table1[[#This Row],[Hire_Date]],IF(Table1[[#This Row],[Employment_Status]]="Exited",Table1[[#This Row],[Exit_Date]],TODAY()))</f>
        <v>5.1361111111111111</v>
      </c>
      <c r="S351" t="str" cm="1">
        <f t="array" aca="1" ref="S351" ca="1">_xlfn.IFS(AND(Table1[[#This Row],[Tenure]]&gt;=0,Table1[[#This Row],[Tenure]]&lt;=1),"0-1",AND(Table1[[#This Row],[Tenure]]&gt;1,Table1[[#This Row],[Tenure]]&lt;=3),"1-3",AND(Table1[[#This Row],[Tenure]]&gt;3,Table1[[#This Row],[Tenure]]&lt;=5),"3-5",AND(Table1[[#This Row],[Tenure]]&gt;5,Table1[[#This Row],[Tenure]]&lt;=8),"5-8")</f>
        <v>5-8</v>
      </c>
      <c r="T351" t="str" cm="1">
        <f t="array" ref="T351">_xlfn.IFS(AND(Table1[[#This Row],[Salary]]&gt;=180000, Table1[[#This Row],[Salary]] &lt;=500000),"Low (180k-500k)", AND(Table1[[#This Row],[Salary]]&gt;500000, Table1[[#This Row],[Salary]]&lt;=800000), "Medium (501k-800k)", AND(Table1[[#This Row],[Salary]]&gt;800000, Table1[[#This Row],[Salary]]&lt;1200000), "High (801k - 1.2m)")</f>
        <v>Medium (501k-800k)</v>
      </c>
    </row>
    <row r="352" spans="1:20" x14ac:dyDescent="0.2">
      <c r="A352">
        <v>351</v>
      </c>
      <c r="B352" t="s">
        <v>24</v>
      </c>
      <c r="C352" t="s">
        <v>14</v>
      </c>
      <c r="D352">
        <v>22</v>
      </c>
      <c r="E352" t="s">
        <v>15</v>
      </c>
      <c r="F352" t="s">
        <v>34</v>
      </c>
      <c r="G352">
        <v>779313</v>
      </c>
      <c r="H352" t="s">
        <v>407</v>
      </c>
      <c r="I352" t="s">
        <v>408</v>
      </c>
      <c r="J352" t="s">
        <v>55</v>
      </c>
      <c r="K352">
        <v>4</v>
      </c>
      <c r="L352">
        <v>33</v>
      </c>
      <c r="M352">
        <v>98</v>
      </c>
      <c r="N352">
        <f>IF(Table1[[#This Row],[Employment_Status]]="Exited",1,0)</f>
        <v>1</v>
      </c>
      <c r="O352" t="str" cm="1">
        <f t="array" ref="O352">_xlfn.IFS(AND(Table1[[#This Row],[Age]]&gt;=22,Table1[[#This Row],[Age]]&lt;=35),"22-35",AND(Table1[[#This Row],[Age]]&gt;=36,Table1[[#This Row],[Age]]&lt;=45),"36-45",AND(Table1[[#This Row],[Age]]&gt;=46,Table1[[#This Row],[Age]]&lt;=55),"46-55")</f>
        <v>22-35</v>
      </c>
      <c r="P352">
        <f>IF(Table1[[#This Row],[Employment_Status]]="active",1,0)</f>
        <v>0</v>
      </c>
      <c r="Q352">
        <v>1</v>
      </c>
      <c r="R352" s="6">
        <f ca="1">YEARFRAC(Table1[[#This Row],[Hire_Date]],IF(Table1[[#This Row],[Employment_Status]]="Exited",Table1[[#This Row],[Exit_Date]],TODAY()))</f>
        <v>2.6083333333333334</v>
      </c>
      <c r="S352" t="str" cm="1">
        <f t="array" aca="1" ref="S352" ca="1">_xlfn.IFS(AND(Table1[[#This Row],[Tenure]]&gt;=0,Table1[[#This Row],[Tenure]]&lt;=1),"0-1",AND(Table1[[#This Row],[Tenure]]&gt;1,Table1[[#This Row],[Tenure]]&lt;=3),"1-3",AND(Table1[[#This Row],[Tenure]]&gt;3,Table1[[#This Row],[Tenure]]&lt;=5),"3-5",AND(Table1[[#This Row],[Tenure]]&gt;5,Table1[[#This Row],[Tenure]]&lt;=8),"5-8")</f>
        <v>1-3</v>
      </c>
      <c r="T352" t="str" cm="1">
        <f t="array" ref="T352">_xlfn.IFS(AND(Table1[[#This Row],[Salary]]&gt;=180000, Table1[[#This Row],[Salary]] &lt;=500000),"Low (180k-500k)", AND(Table1[[#This Row],[Salary]]&gt;500000, Table1[[#This Row],[Salary]]&lt;=800000), "Medium (501k-800k)", AND(Table1[[#This Row],[Salary]]&gt;800000, Table1[[#This Row],[Salary]]&lt;1200000), "High (801k - 1.2m)")</f>
        <v>Medium (501k-800k)</v>
      </c>
    </row>
    <row r="353" spans="1:20" x14ac:dyDescent="0.2">
      <c r="A353">
        <v>352</v>
      </c>
      <c r="B353" t="s">
        <v>29</v>
      </c>
      <c r="C353" t="s">
        <v>20</v>
      </c>
      <c r="D353">
        <v>40</v>
      </c>
      <c r="E353" t="s">
        <v>61</v>
      </c>
      <c r="F353" t="s">
        <v>34</v>
      </c>
      <c r="G353">
        <v>356437</v>
      </c>
      <c r="H353" t="s">
        <v>409</v>
      </c>
      <c r="J353" t="s">
        <v>18</v>
      </c>
      <c r="K353">
        <v>4</v>
      </c>
      <c r="L353">
        <v>38</v>
      </c>
      <c r="M353">
        <v>98</v>
      </c>
      <c r="N353">
        <f>IF(Table1[[#This Row],[Employment_Status]]="Exited",1,0)</f>
        <v>0</v>
      </c>
      <c r="O353" t="str" cm="1">
        <f t="array" ref="O353">_xlfn.IFS(AND(Table1[[#This Row],[Age]]&gt;=22,Table1[[#This Row],[Age]]&lt;=35),"22-35",AND(Table1[[#This Row],[Age]]&gt;=36,Table1[[#This Row],[Age]]&lt;=45),"36-45",AND(Table1[[#This Row],[Age]]&gt;=46,Table1[[#This Row],[Age]]&lt;=55),"46-55")</f>
        <v>36-45</v>
      </c>
      <c r="P353">
        <f>IF(Table1[[#This Row],[Employment_Status]]="active",1,0)</f>
        <v>1</v>
      </c>
      <c r="Q353">
        <v>1</v>
      </c>
      <c r="R353" s="6">
        <f ca="1">YEARFRAC(Table1[[#This Row],[Hire_Date]],IF(Table1[[#This Row],[Employment_Status]]="Exited",Table1[[#This Row],[Exit_Date]],TODAY()))</f>
        <v>3.3138888888888891</v>
      </c>
      <c r="S353" t="str" cm="1">
        <f t="array" aca="1" ref="S353" ca="1">_xlfn.IFS(AND(Table1[[#This Row],[Tenure]]&gt;=0,Table1[[#This Row],[Tenure]]&lt;=1),"0-1",AND(Table1[[#This Row],[Tenure]]&gt;1,Table1[[#This Row],[Tenure]]&lt;=3),"1-3",AND(Table1[[#This Row],[Tenure]]&gt;3,Table1[[#This Row],[Tenure]]&lt;=5),"3-5",AND(Table1[[#This Row],[Tenure]]&gt;5,Table1[[#This Row],[Tenure]]&lt;=8),"5-8")</f>
        <v>3-5</v>
      </c>
      <c r="T353" t="str" cm="1">
        <f t="array" ref="T353">_xlfn.IFS(AND(Table1[[#This Row],[Salary]]&gt;=180000, Table1[[#This Row],[Salary]] &lt;=500000),"Low (180k-500k)", AND(Table1[[#This Row],[Salary]]&gt;500000, Table1[[#This Row],[Salary]]&lt;=800000), "Medium (501k-800k)", AND(Table1[[#This Row],[Salary]]&gt;800000, Table1[[#This Row],[Salary]]&lt;1200000), "High (801k - 1.2m)")</f>
        <v>Low (180k-500k)</v>
      </c>
    </row>
    <row r="354" spans="1:20" x14ac:dyDescent="0.2">
      <c r="A354">
        <v>353</v>
      </c>
      <c r="B354" t="s">
        <v>75</v>
      </c>
      <c r="C354" t="s">
        <v>20</v>
      </c>
      <c r="D354">
        <v>50</v>
      </c>
      <c r="E354" t="s">
        <v>15</v>
      </c>
      <c r="F354" t="s">
        <v>34</v>
      </c>
      <c r="G354">
        <v>657298</v>
      </c>
      <c r="H354" t="s">
        <v>133</v>
      </c>
      <c r="J354" t="s">
        <v>18</v>
      </c>
      <c r="K354">
        <v>4</v>
      </c>
      <c r="L354">
        <v>34</v>
      </c>
      <c r="M354">
        <v>92</v>
      </c>
      <c r="N354">
        <f>IF(Table1[[#This Row],[Employment_Status]]="Exited",1,0)</f>
        <v>0</v>
      </c>
      <c r="O354" t="str" cm="1">
        <f t="array" ref="O354">_xlfn.IFS(AND(Table1[[#This Row],[Age]]&gt;=22,Table1[[#This Row],[Age]]&lt;=35),"22-35",AND(Table1[[#This Row],[Age]]&gt;=36,Table1[[#This Row],[Age]]&lt;=45),"36-45",AND(Table1[[#This Row],[Age]]&gt;=46,Table1[[#This Row],[Age]]&lt;=55),"46-55")</f>
        <v>46-55</v>
      </c>
      <c r="P354">
        <f>IF(Table1[[#This Row],[Employment_Status]]="active",1,0)</f>
        <v>1</v>
      </c>
      <c r="Q354">
        <v>1</v>
      </c>
      <c r="R354" s="6">
        <f ca="1">YEARFRAC(Table1[[#This Row],[Hire_Date]],IF(Table1[[#This Row],[Employment_Status]]="Exited",Table1[[#This Row],[Exit_Date]],TODAY()))</f>
        <v>6.3055555555555554</v>
      </c>
      <c r="S354" t="str" cm="1">
        <f t="array" aca="1" ref="S354" ca="1">_xlfn.IFS(AND(Table1[[#This Row],[Tenure]]&gt;=0,Table1[[#This Row],[Tenure]]&lt;=1),"0-1",AND(Table1[[#This Row],[Tenure]]&gt;1,Table1[[#This Row],[Tenure]]&lt;=3),"1-3",AND(Table1[[#This Row],[Tenure]]&gt;3,Table1[[#This Row],[Tenure]]&lt;=5),"3-5",AND(Table1[[#This Row],[Tenure]]&gt;5,Table1[[#This Row],[Tenure]]&lt;=8),"5-8")</f>
        <v>5-8</v>
      </c>
      <c r="T354" t="str" cm="1">
        <f t="array" ref="T354">_xlfn.IFS(AND(Table1[[#This Row],[Salary]]&gt;=180000, Table1[[#This Row],[Salary]] &lt;=500000),"Low (180k-500k)", AND(Table1[[#This Row],[Salary]]&gt;500000, Table1[[#This Row],[Salary]]&lt;=800000), "Medium (501k-800k)", AND(Table1[[#This Row],[Salary]]&gt;800000, Table1[[#This Row],[Salary]]&lt;1200000), "High (801k - 1.2m)")</f>
        <v>Medium (501k-800k)</v>
      </c>
    </row>
    <row r="355" spans="1:20" x14ac:dyDescent="0.2">
      <c r="A355">
        <v>354</v>
      </c>
      <c r="B355" t="s">
        <v>58</v>
      </c>
      <c r="C355" t="s">
        <v>20</v>
      </c>
      <c r="D355">
        <v>44</v>
      </c>
      <c r="E355" t="s">
        <v>21</v>
      </c>
      <c r="F355" t="s">
        <v>34</v>
      </c>
      <c r="G355">
        <v>483307</v>
      </c>
      <c r="H355" t="s">
        <v>410</v>
      </c>
      <c r="I355" t="s">
        <v>368</v>
      </c>
      <c r="J355" t="s">
        <v>55</v>
      </c>
      <c r="K355">
        <v>2</v>
      </c>
      <c r="L355">
        <v>13</v>
      </c>
      <c r="M355">
        <v>95</v>
      </c>
      <c r="N355">
        <f>IF(Table1[[#This Row],[Employment_Status]]="Exited",1,0)</f>
        <v>1</v>
      </c>
      <c r="O355" t="str" cm="1">
        <f t="array" ref="O355">_xlfn.IFS(AND(Table1[[#This Row],[Age]]&gt;=22,Table1[[#This Row],[Age]]&lt;=35),"22-35",AND(Table1[[#This Row],[Age]]&gt;=36,Table1[[#This Row],[Age]]&lt;=45),"36-45",AND(Table1[[#This Row],[Age]]&gt;=46,Table1[[#This Row],[Age]]&lt;=55),"46-55")</f>
        <v>36-45</v>
      </c>
      <c r="P355">
        <f>IF(Table1[[#This Row],[Employment_Status]]="active",1,0)</f>
        <v>0</v>
      </c>
      <c r="Q355">
        <v>1</v>
      </c>
      <c r="R355" s="6">
        <f ca="1">YEARFRAC(Table1[[#This Row],[Hire_Date]],IF(Table1[[#This Row],[Employment_Status]]="Exited",Table1[[#This Row],[Exit_Date]],TODAY()))</f>
        <v>1.4416666666666667</v>
      </c>
      <c r="S355" t="str" cm="1">
        <f t="array" aca="1" ref="S355" ca="1">_xlfn.IFS(AND(Table1[[#This Row],[Tenure]]&gt;=0,Table1[[#This Row],[Tenure]]&lt;=1),"0-1",AND(Table1[[#This Row],[Tenure]]&gt;1,Table1[[#This Row],[Tenure]]&lt;=3),"1-3",AND(Table1[[#This Row],[Tenure]]&gt;3,Table1[[#This Row],[Tenure]]&lt;=5),"3-5",AND(Table1[[#This Row],[Tenure]]&gt;5,Table1[[#This Row],[Tenure]]&lt;=8),"5-8")</f>
        <v>1-3</v>
      </c>
      <c r="T355" t="str" cm="1">
        <f t="array" ref="T355">_xlfn.IFS(AND(Table1[[#This Row],[Salary]]&gt;=180000, Table1[[#This Row],[Salary]] &lt;=500000),"Low (180k-500k)", AND(Table1[[#This Row],[Salary]]&gt;500000, Table1[[#This Row],[Salary]]&lt;=800000), "Medium (501k-800k)", AND(Table1[[#This Row],[Salary]]&gt;800000, Table1[[#This Row],[Salary]]&lt;1200000), "High (801k - 1.2m)")</f>
        <v>Low (180k-500k)</v>
      </c>
    </row>
    <row r="356" spans="1:20" x14ac:dyDescent="0.2">
      <c r="A356">
        <v>355</v>
      </c>
      <c r="B356" t="s">
        <v>31</v>
      </c>
      <c r="C356" t="s">
        <v>14</v>
      </c>
      <c r="D356">
        <v>48</v>
      </c>
      <c r="E356" t="s">
        <v>49</v>
      </c>
      <c r="F356" t="s">
        <v>27</v>
      </c>
      <c r="G356">
        <v>587736</v>
      </c>
      <c r="H356" t="s">
        <v>411</v>
      </c>
      <c r="J356" t="s">
        <v>18</v>
      </c>
      <c r="K356">
        <v>4</v>
      </c>
      <c r="L356">
        <v>44</v>
      </c>
      <c r="M356">
        <v>83</v>
      </c>
      <c r="N356">
        <f>IF(Table1[[#This Row],[Employment_Status]]="Exited",1,0)</f>
        <v>0</v>
      </c>
      <c r="O356" t="str" cm="1">
        <f t="array" ref="O356">_xlfn.IFS(AND(Table1[[#This Row],[Age]]&gt;=22,Table1[[#This Row],[Age]]&lt;=35),"22-35",AND(Table1[[#This Row],[Age]]&gt;=36,Table1[[#This Row],[Age]]&lt;=45),"36-45",AND(Table1[[#This Row],[Age]]&gt;=46,Table1[[#This Row],[Age]]&lt;=55),"46-55")</f>
        <v>46-55</v>
      </c>
      <c r="P356">
        <f>IF(Table1[[#This Row],[Employment_Status]]="active",1,0)</f>
        <v>1</v>
      </c>
      <c r="Q356">
        <v>1</v>
      </c>
      <c r="R356" s="6">
        <f ca="1">YEARFRAC(Table1[[#This Row],[Hire_Date]],IF(Table1[[#This Row],[Employment_Status]]="Exited",Table1[[#This Row],[Exit_Date]],TODAY()))</f>
        <v>5.7249999999999996</v>
      </c>
      <c r="S356" t="str" cm="1">
        <f t="array" aca="1" ref="S356" ca="1">_xlfn.IFS(AND(Table1[[#This Row],[Tenure]]&gt;=0,Table1[[#This Row],[Tenure]]&lt;=1),"0-1",AND(Table1[[#This Row],[Tenure]]&gt;1,Table1[[#This Row],[Tenure]]&lt;=3),"1-3",AND(Table1[[#This Row],[Tenure]]&gt;3,Table1[[#This Row],[Tenure]]&lt;=5),"3-5",AND(Table1[[#This Row],[Tenure]]&gt;5,Table1[[#This Row],[Tenure]]&lt;=8),"5-8")</f>
        <v>5-8</v>
      </c>
      <c r="T356" t="str" cm="1">
        <f t="array" ref="T356">_xlfn.IFS(AND(Table1[[#This Row],[Salary]]&gt;=180000, Table1[[#This Row],[Salary]] &lt;=500000),"Low (180k-500k)", AND(Table1[[#This Row],[Salary]]&gt;500000, Table1[[#This Row],[Salary]]&lt;=800000), "Medium (501k-800k)", AND(Table1[[#This Row],[Salary]]&gt;800000, Table1[[#This Row],[Salary]]&lt;1200000), "High (801k - 1.2m)")</f>
        <v>Medium (501k-800k)</v>
      </c>
    </row>
    <row r="357" spans="1:20" x14ac:dyDescent="0.2">
      <c r="A357">
        <v>356</v>
      </c>
      <c r="B357" t="s">
        <v>24</v>
      </c>
      <c r="C357" t="s">
        <v>14</v>
      </c>
      <c r="D357">
        <v>41</v>
      </c>
      <c r="E357" t="s">
        <v>15</v>
      </c>
      <c r="F357" t="s">
        <v>27</v>
      </c>
      <c r="G357">
        <v>674234</v>
      </c>
      <c r="H357" t="s">
        <v>412</v>
      </c>
      <c r="J357" t="s">
        <v>18</v>
      </c>
      <c r="K357">
        <v>3</v>
      </c>
      <c r="L357">
        <v>50</v>
      </c>
      <c r="M357">
        <v>86</v>
      </c>
      <c r="N357">
        <f>IF(Table1[[#This Row],[Employment_Status]]="Exited",1,0)</f>
        <v>0</v>
      </c>
      <c r="O357" t="str" cm="1">
        <f t="array" ref="O357">_xlfn.IFS(AND(Table1[[#This Row],[Age]]&gt;=22,Table1[[#This Row],[Age]]&lt;=35),"22-35",AND(Table1[[#This Row],[Age]]&gt;=36,Table1[[#This Row],[Age]]&lt;=45),"36-45",AND(Table1[[#This Row],[Age]]&gt;=46,Table1[[#This Row],[Age]]&lt;=55),"46-55")</f>
        <v>36-45</v>
      </c>
      <c r="P357">
        <f>IF(Table1[[#This Row],[Employment_Status]]="active",1,0)</f>
        <v>1</v>
      </c>
      <c r="Q357">
        <v>1</v>
      </c>
      <c r="R357" s="6">
        <f ca="1">YEARFRAC(Table1[[#This Row],[Hire_Date]],IF(Table1[[#This Row],[Employment_Status]]="Exited",Table1[[#This Row],[Exit_Date]],TODAY()))</f>
        <v>5.6555555555555559</v>
      </c>
      <c r="S357" t="str" cm="1">
        <f t="array" aca="1" ref="S357" ca="1">_xlfn.IFS(AND(Table1[[#This Row],[Tenure]]&gt;=0,Table1[[#This Row],[Tenure]]&lt;=1),"0-1",AND(Table1[[#This Row],[Tenure]]&gt;1,Table1[[#This Row],[Tenure]]&lt;=3),"1-3",AND(Table1[[#This Row],[Tenure]]&gt;3,Table1[[#This Row],[Tenure]]&lt;=5),"3-5",AND(Table1[[#This Row],[Tenure]]&gt;5,Table1[[#This Row],[Tenure]]&lt;=8),"5-8")</f>
        <v>5-8</v>
      </c>
      <c r="T357" t="str" cm="1">
        <f t="array" ref="T357">_xlfn.IFS(AND(Table1[[#This Row],[Salary]]&gt;=180000, Table1[[#This Row],[Salary]] &lt;=500000),"Low (180k-500k)", AND(Table1[[#This Row],[Salary]]&gt;500000, Table1[[#This Row],[Salary]]&lt;=800000), "Medium (501k-800k)", AND(Table1[[#This Row],[Salary]]&gt;800000, Table1[[#This Row],[Salary]]&lt;1200000), "High (801k - 1.2m)")</f>
        <v>Medium (501k-800k)</v>
      </c>
    </row>
    <row r="358" spans="1:20" x14ac:dyDescent="0.2">
      <c r="A358">
        <v>357</v>
      </c>
      <c r="B358" t="s">
        <v>29</v>
      </c>
      <c r="C358" t="s">
        <v>20</v>
      </c>
      <c r="D358">
        <v>39</v>
      </c>
      <c r="E358" t="s">
        <v>61</v>
      </c>
      <c r="F358" t="s">
        <v>27</v>
      </c>
      <c r="G358">
        <v>323565</v>
      </c>
      <c r="H358" t="s">
        <v>413</v>
      </c>
      <c r="J358" t="s">
        <v>18</v>
      </c>
      <c r="K358">
        <v>3</v>
      </c>
      <c r="L358">
        <v>3</v>
      </c>
      <c r="M358">
        <v>100</v>
      </c>
      <c r="N358">
        <f>IF(Table1[[#This Row],[Employment_Status]]="Exited",1,0)</f>
        <v>0</v>
      </c>
      <c r="O358" t="str" cm="1">
        <f t="array" ref="O358">_xlfn.IFS(AND(Table1[[#This Row],[Age]]&gt;=22,Table1[[#This Row],[Age]]&lt;=35),"22-35",AND(Table1[[#This Row],[Age]]&gt;=36,Table1[[#This Row],[Age]]&lt;=45),"36-45",AND(Table1[[#This Row],[Age]]&gt;=46,Table1[[#This Row],[Age]]&lt;=55),"46-55")</f>
        <v>36-45</v>
      </c>
      <c r="P358">
        <f>IF(Table1[[#This Row],[Employment_Status]]="active",1,0)</f>
        <v>1</v>
      </c>
      <c r="Q358">
        <v>1</v>
      </c>
      <c r="R358" s="6">
        <f ca="1">YEARFRAC(Table1[[#This Row],[Hire_Date]],IF(Table1[[#This Row],[Employment_Status]]="Exited",Table1[[#This Row],[Exit_Date]],TODAY()))</f>
        <v>4.3166666666666664</v>
      </c>
      <c r="S358" t="str" cm="1">
        <f t="array" aca="1" ref="S358" ca="1">_xlfn.IFS(AND(Table1[[#This Row],[Tenure]]&gt;=0,Table1[[#This Row],[Tenure]]&lt;=1),"0-1",AND(Table1[[#This Row],[Tenure]]&gt;1,Table1[[#This Row],[Tenure]]&lt;=3),"1-3",AND(Table1[[#This Row],[Tenure]]&gt;3,Table1[[#This Row],[Tenure]]&lt;=5),"3-5",AND(Table1[[#This Row],[Tenure]]&gt;5,Table1[[#This Row],[Tenure]]&lt;=8),"5-8")</f>
        <v>3-5</v>
      </c>
      <c r="T358" t="str" cm="1">
        <f t="array" ref="T358">_xlfn.IFS(AND(Table1[[#This Row],[Salary]]&gt;=180000, Table1[[#This Row],[Salary]] &lt;=500000),"Low (180k-500k)", AND(Table1[[#This Row],[Salary]]&gt;500000, Table1[[#This Row],[Salary]]&lt;=800000), "Medium (501k-800k)", AND(Table1[[#This Row],[Salary]]&gt;800000, Table1[[#This Row],[Salary]]&lt;1200000), "High (801k - 1.2m)")</f>
        <v>Low (180k-500k)</v>
      </c>
    </row>
    <row r="359" spans="1:20" x14ac:dyDescent="0.2">
      <c r="A359">
        <v>358</v>
      </c>
      <c r="B359" t="s">
        <v>40</v>
      </c>
      <c r="C359" t="s">
        <v>14</v>
      </c>
      <c r="D359">
        <v>54</v>
      </c>
      <c r="E359" t="s">
        <v>15</v>
      </c>
      <c r="F359" t="s">
        <v>27</v>
      </c>
      <c r="G359">
        <v>813563</v>
      </c>
      <c r="H359" t="s">
        <v>414</v>
      </c>
      <c r="J359" t="s">
        <v>18</v>
      </c>
      <c r="K359">
        <v>1</v>
      </c>
      <c r="L359">
        <v>14</v>
      </c>
      <c r="M359">
        <v>84</v>
      </c>
      <c r="N359">
        <f>IF(Table1[[#This Row],[Employment_Status]]="Exited",1,0)</f>
        <v>0</v>
      </c>
      <c r="O359" t="str" cm="1">
        <f t="array" ref="O359">_xlfn.IFS(AND(Table1[[#This Row],[Age]]&gt;=22,Table1[[#This Row],[Age]]&lt;=35),"22-35",AND(Table1[[#This Row],[Age]]&gt;=36,Table1[[#This Row],[Age]]&lt;=45),"36-45",AND(Table1[[#This Row],[Age]]&gt;=46,Table1[[#This Row],[Age]]&lt;=55),"46-55")</f>
        <v>46-55</v>
      </c>
      <c r="P359">
        <f>IF(Table1[[#This Row],[Employment_Status]]="active",1,0)</f>
        <v>1</v>
      </c>
      <c r="Q359">
        <v>1</v>
      </c>
      <c r="R359" s="6">
        <f ca="1">YEARFRAC(Table1[[#This Row],[Hire_Date]],IF(Table1[[#This Row],[Employment_Status]]="Exited",Table1[[#This Row],[Exit_Date]],TODAY()))</f>
        <v>3.3638888888888889</v>
      </c>
      <c r="S359" t="str" cm="1">
        <f t="array" aca="1" ref="S359" ca="1">_xlfn.IFS(AND(Table1[[#This Row],[Tenure]]&gt;=0,Table1[[#This Row],[Tenure]]&lt;=1),"0-1",AND(Table1[[#This Row],[Tenure]]&gt;1,Table1[[#This Row],[Tenure]]&lt;=3),"1-3",AND(Table1[[#This Row],[Tenure]]&gt;3,Table1[[#This Row],[Tenure]]&lt;=5),"3-5",AND(Table1[[#This Row],[Tenure]]&gt;5,Table1[[#This Row],[Tenure]]&lt;=8),"5-8")</f>
        <v>3-5</v>
      </c>
      <c r="T359" t="str" cm="1">
        <f t="array" ref="T359">_xlfn.IFS(AND(Table1[[#This Row],[Salary]]&gt;=180000, Table1[[#This Row],[Salary]] &lt;=500000),"Low (180k-500k)", AND(Table1[[#This Row],[Salary]]&gt;500000, Table1[[#This Row],[Salary]]&lt;=800000), "Medium (501k-800k)", AND(Table1[[#This Row],[Salary]]&gt;800000, Table1[[#This Row],[Salary]]&lt;1200000), "High (801k - 1.2m)")</f>
        <v>High (801k - 1.2m)</v>
      </c>
    </row>
    <row r="360" spans="1:20" x14ac:dyDescent="0.2">
      <c r="A360">
        <v>359</v>
      </c>
      <c r="B360" t="s">
        <v>26</v>
      </c>
      <c r="C360" t="s">
        <v>20</v>
      </c>
      <c r="D360">
        <v>27</v>
      </c>
      <c r="E360" t="s">
        <v>15</v>
      </c>
      <c r="F360" t="s">
        <v>34</v>
      </c>
      <c r="G360">
        <v>1048988</v>
      </c>
      <c r="H360" t="s">
        <v>388</v>
      </c>
      <c r="J360" t="s">
        <v>18</v>
      </c>
      <c r="K360">
        <v>2</v>
      </c>
      <c r="L360">
        <v>28</v>
      </c>
      <c r="M360">
        <v>74</v>
      </c>
      <c r="N360">
        <f>IF(Table1[[#This Row],[Employment_Status]]="Exited",1,0)</f>
        <v>0</v>
      </c>
      <c r="O360" t="str" cm="1">
        <f t="array" ref="O360">_xlfn.IFS(AND(Table1[[#This Row],[Age]]&gt;=22,Table1[[#This Row],[Age]]&lt;=35),"22-35",AND(Table1[[#This Row],[Age]]&gt;=36,Table1[[#This Row],[Age]]&lt;=45),"36-45",AND(Table1[[#This Row],[Age]]&gt;=46,Table1[[#This Row],[Age]]&lt;=55),"46-55")</f>
        <v>22-35</v>
      </c>
      <c r="P360">
        <f>IF(Table1[[#This Row],[Employment_Status]]="active",1,0)</f>
        <v>1</v>
      </c>
      <c r="Q360">
        <v>1</v>
      </c>
      <c r="R360" s="6">
        <f ca="1">YEARFRAC(Table1[[#This Row],[Hire_Date]],IF(Table1[[#This Row],[Employment_Status]]="Exited",Table1[[#This Row],[Exit_Date]],TODAY()))</f>
        <v>5.1111111111111107</v>
      </c>
      <c r="S360" t="str" cm="1">
        <f t="array" aca="1" ref="S360" ca="1">_xlfn.IFS(AND(Table1[[#This Row],[Tenure]]&gt;=0,Table1[[#This Row],[Tenure]]&lt;=1),"0-1",AND(Table1[[#This Row],[Tenure]]&gt;1,Table1[[#This Row],[Tenure]]&lt;=3),"1-3",AND(Table1[[#This Row],[Tenure]]&gt;3,Table1[[#This Row],[Tenure]]&lt;=5),"3-5",AND(Table1[[#This Row],[Tenure]]&gt;5,Table1[[#This Row],[Tenure]]&lt;=8),"5-8")</f>
        <v>5-8</v>
      </c>
      <c r="T360" t="str" cm="1">
        <f t="array" ref="T360">_xlfn.IFS(AND(Table1[[#This Row],[Salary]]&gt;=180000, Table1[[#This Row],[Salary]] &lt;=500000),"Low (180k-500k)", AND(Table1[[#This Row],[Salary]]&gt;500000, Table1[[#This Row],[Salary]]&lt;=800000), "Medium (501k-800k)", AND(Table1[[#This Row],[Salary]]&gt;800000, Table1[[#This Row],[Salary]]&lt;1200000), "High (801k - 1.2m)")</f>
        <v>High (801k - 1.2m)</v>
      </c>
    </row>
    <row r="361" spans="1:20" x14ac:dyDescent="0.2">
      <c r="A361">
        <v>360</v>
      </c>
      <c r="B361" t="s">
        <v>19</v>
      </c>
      <c r="C361" t="s">
        <v>14</v>
      </c>
      <c r="D361">
        <v>53</v>
      </c>
      <c r="E361" t="s">
        <v>15</v>
      </c>
      <c r="F361" t="s">
        <v>16</v>
      </c>
      <c r="G361">
        <v>715437</v>
      </c>
      <c r="H361" t="s">
        <v>415</v>
      </c>
      <c r="J361" t="s">
        <v>18</v>
      </c>
      <c r="K361">
        <v>4</v>
      </c>
      <c r="L361">
        <v>42</v>
      </c>
      <c r="M361">
        <v>95</v>
      </c>
      <c r="N361">
        <f>IF(Table1[[#This Row],[Employment_Status]]="Exited",1,0)</f>
        <v>0</v>
      </c>
      <c r="O361" t="str" cm="1">
        <f t="array" ref="O361">_xlfn.IFS(AND(Table1[[#This Row],[Age]]&gt;=22,Table1[[#This Row],[Age]]&lt;=35),"22-35",AND(Table1[[#This Row],[Age]]&gt;=36,Table1[[#This Row],[Age]]&lt;=45),"36-45",AND(Table1[[#This Row],[Age]]&gt;=46,Table1[[#This Row],[Age]]&lt;=55),"46-55")</f>
        <v>46-55</v>
      </c>
      <c r="P361">
        <f>IF(Table1[[#This Row],[Employment_Status]]="active",1,0)</f>
        <v>1</v>
      </c>
      <c r="Q361">
        <v>1</v>
      </c>
      <c r="R361" s="6">
        <f ca="1">YEARFRAC(Table1[[#This Row],[Hire_Date]],IF(Table1[[#This Row],[Employment_Status]]="Exited",Table1[[#This Row],[Exit_Date]],TODAY()))</f>
        <v>3.4194444444444443</v>
      </c>
      <c r="S361" t="str" cm="1">
        <f t="array" aca="1" ref="S361" ca="1">_xlfn.IFS(AND(Table1[[#This Row],[Tenure]]&gt;=0,Table1[[#This Row],[Tenure]]&lt;=1),"0-1",AND(Table1[[#This Row],[Tenure]]&gt;1,Table1[[#This Row],[Tenure]]&lt;=3),"1-3",AND(Table1[[#This Row],[Tenure]]&gt;3,Table1[[#This Row],[Tenure]]&lt;=5),"3-5",AND(Table1[[#This Row],[Tenure]]&gt;5,Table1[[#This Row],[Tenure]]&lt;=8),"5-8")</f>
        <v>3-5</v>
      </c>
      <c r="T361" t="str" cm="1">
        <f t="array" ref="T361">_xlfn.IFS(AND(Table1[[#This Row],[Salary]]&gt;=180000, Table1[[#This Row],[Salary]] &lt;=500000),"Low (180k-500k)", AND(Table1[[#This Row],[Salary]]&gt;500000, Table1[[#This Row],[Salary]]&lt;=800000), "Medium (501k-800k)", AND(Table1[[#This Row],[Salary]]&gt;800000, Table1[[#This Row],[Salary]]&lt;1200000), "High (801k - 1.2m)")</f>
        <v>Medium (501k-800k)</v>
      </c>
    </row>
    <row r="362" spans="1:20" x14ac:dyDescent="0.2">
      <c r="A362">
        <v>361</v>
      </c>
      <c r="B362" t="s">
        <v>33</v>
      </c>
      <c r="C362" t="s">
        <v>14</v>
      </c>
      <c r="D362">
        <v>45</v>
      </c>
      <c r="E362" t="s">
        <v>15</v>
      </c>
      <c r="F362" t="s">
        <v>34</v>
      </c>
      <c r="G362">
        <v>634231</v>
      </c>
      <c r="H362" t="s">
        <v>198</v>
      </c>
      <c r="J362" t="s">
        <v>18</v>
      </c>
      <c r="K362">
        <v>2</v>
      </c>
      <c r="L362">
        <v>19</v>
      </c>
      <c r="M362">
        <v>79</v>
      </c>
      <c r="N362">
        <f>IF(Table1[[#This Row],[Employment_Status]]="Exited",1,0)</f>
        <v>0</v>
      </c>
      <c r="O362" t="str" cm="1">
        <f t="array" ref="O362">_xlfn.IFS(AND(Table1[[#This Row],[Age]]&gt;=22,Table1[[#This Row],[Age]]&lt;=35),"22-35",AND(Table1[[#This Row],[Age]]&gt;=36,Table1[[#This Row],[Age]]&lt;=45),"36-45",AND(Table1[[#This Row],[Age]]&gt;=46,Table1[[#This Row],[Age]]&lt;=55),"46-55")</f>
        <v>36-45</v>
      </c>
      <c r="P362">
        <f>IF(Table1[[#This Row],[Employment_Status]]="active",1,0)</f>
        <v>1</v>
      </c>
      <c r="Q362">
        <v>1</v>
      </c>
      <c r="R362" s="6">
        <f ca="1">YEARFRAC(Table1[[#This Row],[Hire_Date]],IF(Table1[[#This Row],[Employment_Status]]="Exited",Table1[[#This Row],[Exit_Date]],TODAY()))</f>
        <v>6.3083333333333336</v>
      </c>
      <c r="S362" t="str" cm="1">
        <f t="array" aca="1" ref="S362" ca="1">_xlfn.IFS(AND(Table1[[#This Row],[Tenure]]&gt;=0,Table1[[#This Row],[Tenure]]&lt;=1),"0-1",AND(Table1[[#This Row],[Tenure]]&gt;1,Table1[[#This Row],[Tenure]]&lt;=3),"1-3",AND(Table1[[#This Row],[Tenure]]&gt;3,Table1[[#This Row],[Tenure]]&lt;=5),"3-5",AND(Table1[[#This Row],[Tenure]]&gt;5,Table1[[#This Row],[Tenure]]&lt;=8),"5-8")</f>
        <v>5-8</v>
      </c>
      <c r="T362" t="str" cm="1">
        <f t="array" ref="T362">_xlfn.IFS(AND(Table1[[#This Row],[Salary]]&gt;=180000, Table1[[#This Row],[Salary]] &lt;=500000),"Low (180k-500k)", AND(Table1[[#This Row],[Salary]]&gt;500000, Table1[[#This Row],[Salary]]&lt;=800000), "Medium (501k-800k)", AND(Table1[[#This Row],[Salary]]&gt;800000, Table1[[#This Row],[Salary]]&lt;1200000), "High (801k - 1.2m)")</f>
        <v>Medium (501k-800k)</v>
      </c>
    </row>
    <row r="363" spans="1:20" x14ac:dyDescent="0.2">
      <c r="A363">
        <v>362</v>
      </c>
      <c r="B363" t="s">
        <v>47</v>
      </c>
      <c r="C363" t="s">
        <v>14</v>
      </c>
      <c r="D363">
        <v>31</v>
      </c>
      <c r="E363" t="s">
        <v>15</v>
      </c>
      <c r="F363" t="s">
        <v>22</v>
      </c>
      <c r="G363">
        <v>700111</v>
      </c>
      <c r="H363" t="s">
        <v>245</v>
      </c>
      <c r="J363" t="s">
        <v>18</v>
      </c>
      <c r="K363">
        <v>3</v>
      </c>
      <c r="L363">
        <v>11</v>
      </c>
      <c r="M363">
        <v>100</v>
      </c>
      <c r="N363">
        <f>IF(Table1[[#This Row],[Employment_Status]]="Exited",1,0)</f>
        <v>0</v>
      </c>
      <c r="O363" t="str" cm="1">
        <f t="array" ref="O363">_xlfn.IFS(AND(Table1[[#This Row],[Age]]&gt;=22,Table1[[#This Row],[Age]]&lt;=35),"22-35",AND(Table1[[#This Row],[Age]]&gt;=36,Table1[[#This Row],[Age]]&lt;=45),"36-45",AND(Table1[[#This Row],[Age]]&gt;=46,Table1[[#This Row],[Age]]&lt;=55),"46-55")</f>
        <v>22-35</v>
      </c>
      <c r="P363">
        <f>IF(Table1[[#This Row],[Employment_Status]]="active",1,0)</f>
        <v>1</v>
      </c>
      <c r="Q363">
        <v>1</v>
      </c>
      <c r="R363" s="6">
        <f ca="1">YEARFRAC(Table1[[#This Row],[Hire_Date]],IF(Table1[[#This Row],[Employment_Status]]="Exited",Table1[[#This Row],[Exit_Date]],TODAY()))</f>
        <v>5.0999999999999996</v>
      </c>
      <c r="S363" t="str" cm="1">
        <f t="array" aca="1" ref="S363" ca="1">_xlfn.IFS(AND(Table1[[#This Row],[Tenure]]&gt;=0,Table1[[#This Row],[Tenure]]&lt;=1),"0-1",AND(Table1[[#This Row],[Tenure]]&gt;1,Table1[[#This Row],[Tenure]]&lt;=3),"1-3",AND(Table1[[#This Row],[Tenure]]&gt;3,Table1[[#This Row],[Tenure]]&lt;=5),"3-5",AND(Table1[[#This Row],[Tenure]]&gt;5,Table1[[#This Row],[Tenure]]&lt;=8),"5-8")</f>
        <v>5-8</v>
      </c>
      <c r="T363" t="str" cm="1">
        <f t="array" ref="T363">_xlfn.IFS(AND(Table1[[#This Row],[Salary]]&gt;=180000, Table1[[#This Row],[Salary]] &lt;=500000),"Low (180k-500k)", AND(Table1[[#This Row],[Salary]]&gt;500000, Table1[[#This Row],[Salary]]&lt;=800000), "Medium (501k-800k)", AND(Table1[[#This Row],[Salary]]&gt;800000, Table1[[#This Row],[Salary]]&lt;1200000), "High (801k - 1.2m)")</f>
        <v>Medium (501k-800k)</v>
      </c>
    </row>
    <row r="364" spans="1:20" x14ac:dyDescent="0.2">
      <c r="A364">
        <v>363</v>
      </c>
      <c r="B364" t="s">
        <v>36</v>
      </c>
      <c r="C364" t="s">
        <v>20</v>
      </c>
      <c r="D364">
        <v>40</v>
      </c>
      <c r="E364" t="s">
        <v>21</v>
      </c>
      <c r="F364" t="s">
        <v>16</v>
      </c>
      <c r="G364">
        <v>618973</v>
      </c>
      <c r="H364" t="s">
        <v>416</v>
      </c>
      <c r="J364" t="s">
        <v>18</v>
      </c>
      <c r="K364">
        <v>3</v>
      </c>
      <c r="L364">
        <v>1</v>
      </c>
      <c r="M364">
        <v>94</v>
      </c>
      <c r="N364">
        <f>IF(Table1[[#This Row],[Employment_Status]]="Exited",1,0)</f>
        <v>0</v>
      </c>
      <c r="O364" t="str" cm="1">
        <f t="array" ref="O364">_xlfn.IFS(AND(Table1[[#This Row],[Age]]&gt;=22,Table1[[#This Row],[Age]]&lt;=35),"22-35",AND(Table1[[#This Row],[Age]]&gt;=36,Table1[[#This Row],[Age]]&lt;=45),"36-45",AND(Table1[[#This Row],[Age]]&gt;=46,Table1[[#This Row],[Age]]&lt;=55),"46-55")</f>
        <v>36-45</v>
      </c>
      <c r="P364">
        <f>IF(Table1[[#This Row],[Employment_Status]]="active",1,0)</f>
        <v>1</v>
      </c>
      <c r="Q364">
        <v>1</v>
      </c>
      <c r="R364" s="6">
        <f ca="1">YEARFRAC(Table1[[#This Row],[Hire_Date]],IF(Table1[[#This Row],[Employment_Status]]="Exited",Table1[[#This Row],[Exit_Date]],TODAY()))</f>
        <v>2.8194444444444446</v>
      </c>
      <c r="S364" t="str" cm="1">
        <f t="array" aca="1" ref="S364" ca="1">_xlfn.IFS(AND(Table1[[#This Row],[Tenure]]&gt;=0,Table1[[#This Row],[Tenure]]&lt;=1),"0-1",AND(Table1[[#This Row],[Tenure]]&gt;1,Table1[[#This Row],[Tenure]]&lt;=3),"1-3",AND(Table1[[#This Row],[Tenure]]&gt;3,Table1[[#This Row],[Tenure]]&lt;=5),"3-5",AND(Table1[[#This Row],[Tenure]]&gt;5,Table1[[#This Row],[Tenure]]&lt;=8),"5-8")</f>
        <v>1-3</v>
      </c>
      <c r="T364" t="str" cm="1">
        <f t="array" ref="T364">_xlfn.IFS(AND(Table1[[#This Row],[Salary]]&gt;=180000, Table1[[#This Row],[Salary]] &lt;=500000),"Low (180k-500k)", AND(Table1[[#This Row],[Salary]]&gt;500000, Table1[[#This Row],[Salary]]&lt;=800000), "Medium (501k-800k)", AND(Table1[[#This Row],[Salary]]&gt;800000, Table1[[#This Row],[Salary]]&lt;1200000), "High (801k - 1.2m)")</f>
        <v>Medium (501k-800k)</v>
      </c>
    </row>
    <row r="365" spans="1:20" x14ac:dyDescent="0.2">
      <c r="A365">
        <v>364</v>
      </c>
      <c r="B365" t="s">
        <v>47</v>
      </c>
      <c r="C365" t="s">
        <v>14</v>
      </c>
      <c r="D365">
        <v>38</v>
      </c>
      <c r="E365" t="s">
        <v>21</v>
      </c>
      <c r="F365" t="s">
        <v>22</v>
      </c>
      <c r="G365">
        <v>405143</v>
      </c>
      <c r="H365" t="s">
        <v>331</v>
      </c>
      <c r="I365" t="s">
        <v>153</v>
      </c>
      <c r="J365" t="s">
        <v>55</v>
      </c>
      <c r="K365">
        <v>5</v>
      </c>
      <c r="L365">
        <v>38</v>
      </c>
      <c r="M365">
        <v>75</v>
      </c>
      <c r="N365">
        <f>IF(Table1[[#This Row],[Employment_Status]]="Exited",1,0)</f>
        <v>1</v>
      </c>
      <c r="O365" t="str" cm="1">
        <f t="array" ref="O365">_xlfn.IFS(AND(Table1[[#This Row],[Age]]&gt;=22,Table1[[#This Row],[Age]]&lt;=35),"22-35",AND(Table1[[#This Row],[Age]]&gt;=36,Table1[[#This Row],[Age]]&lt;=45),"36-45",AND(Table1[[#This Row],[Age]]&gt;=46,Table1[[#This Row],[Age]]&lt;=55),"46-55")</f>
        <v>36-45</v>
      </c>
      <c r="P365">
        <f>IF(Table1[[#This Row],[Employment_Status]]="active",1,0)</f>
        <v>0</v>
      </c>
      <c r="Q365">
        <v>1</v>
      </c>
      <c r="R365" s="6">
        <f ca="1">YEARFRAC(Table1[[#This Row],[Hire_Date]],IF(Table1[[#This Row],[Employment_Status]]="Exited",Table1[[#This Row],[Exit_Date]],TODAY()))</f>
        <v>1.175</v>
      </c>
      <c r="S365" t="str" cm="1">
        <f t="array" aca="1" ref="S365" ca="1">_xlfn.IFS(AND(Table1[[#This Row],[Tenure]]&gt;=0,Table1[[#This Row],[Tenure]]&lt;=1),"0-1",AND(Table1[[#This Row],[Tenure]]&gt;1,Table1[[#This Row],[Tenure]]&lt;=3),"1-3",AND(Table1[[#This Row],[Tenure]]&gt;3,Table1[[#This Row],[Tenure]]&lt;=5),"3-5",AND(Table1[[#This Row],[Tenure]]&gt;5,Table1[[#This Row],[Tenure]]&lt;=8),"5-8")</f>
        <v>1-3</v>
      </c>
      <c r="T365" t="str" cm="1">
        <f t="array" ref="T365">_xlfn.IFS(AND(Table1[[#This Row],[Salary]]&gt;=180000, Table1[[#This Row],[Salary]] &lt;=500000),"Low (180k-500k)", AND(Table1[[#This Row],[Salary]]&gt;500000, Table1[[#This Row],[Salary]]&lt;=800000), "Medium (501k-800k)", AND(Table1[[#This Row],[Salary]]&gt;800000, Table1[[#This Row],[Salary]]&lt;1200000), "High (801k - 1.2m)")</f>
        <v>Low (180k-500k)</v>
      </c>
    </row>
    <row r="366" spans="1:20" x14ac:dyDescent="0.2">
      <c r="A366">
        <v>365</v>
      </c>
      <c r="B366" t="s">
        <v>24</v>
      </c>
      <c r="C366" t="s">
        <v>14</v>
      </c>
      <c r="D366">
        <v>28</v>
      </c>
      <c r="E366" t="s">
        <v>21</v>
      </c>
      <c r="F366" t="s">
        <v>22</v>
      </c>
      <c r="G366">
        <v>657988</v>
      </c>
      <c r="H366" t="s">
        <v>417</v>
      </c>
      <c r="J366" t="s">
        <v>18</v>
      </c>
      <c r="K366">
        <v>2</v>
      </c>
      <c r="L366">
        <v>2</v>
      </c>
      <c r="M366">
        <v>74</v>
      </c>
      <c r="N366">
        <f>IF(Table1[[#This Row],[Employment_Status]]="Exited",1,0)</f>
        <v>0</v>
      </c>
      <c r="O366" t="str" cm="1">
        <f t="array" ref="O366">_xlfn.IFS(AND(Table1[[#This Row],[Age]]&gt;=22,Table1[[#This Row],[Age]]&lt;=35),"22-35",AND(Table1[[#This Row],[Age]]&gt;=36,Table1[[#This Row],[Age]]&lt;=45),"36-45",AND(Table1[[#This Row],[Age]]&gt;=46,Table1[[#This Row],[Age]]&lt;=55),"46-55")</f>
        <v>22-35</v>
      </c>
      <c r="P366">
        <f>IF(Table1[[#This Row],[Employment_Status]]="active",1,0)</f>
        <v>1</v>
      </c>
      <c r="Q366">
        <v>1</v>
      </c>
      <c r="R366" s="6">
        <f ca="1">YEARFRAC(Table1[[#This Row],[Hire_Date]],IF(Table1[[#This Row],[Employment_Status]]="Exited",Table1[[#This Row],[Exit_Date]],TODAY()))</f>
        <v>2.4666666666666668</v>
      </c>
      <c r="S366" t="str" cm="1">
        <f t="array" aca="1" ref="S366" ca="1">_xlfn.IFS(AND(Table1[[#This Row],[Tenure]]&gt;=0,Table1[[#This Row],[Tenure]]&lt;=1),"0-1",AND(Table1[[#This Row],[Tenure]]&gt;1,Table1[[#This Row],[Tenure]]&lt;=3),"1-3",AND(Table1[[#This Row],[Tenure]]&gt;3,Table1[[#This Row],[Tenure]]&lt;=5),"3-5",AND(Table1[[#This Row],[Tenure]]&gt;5,Table1[[#This Row],[Tenure]]&lt;=8),"5-8")</f>
        <v>1-3</v>
      </c>
      <c r="T366" t="str" cm="1">
        <f t="array" ref="T366">_xlfn.IFS(AND(Table1[[#This Row],[Salary]]&gt;=180000, Table1[[#This Row],[Salary]] &lt;=500000),"Low (180k-500k)", AND(Table1[[#This Row],[Salary]]&gt;500000, Table1[[#This Row],[Salary]]&lt;=800000), "Medium (501k-800k)", AND(Table1[[#This Row],[Salary]]&gt;800000, Table1[[#This Row],[Salary]]&lt;1200000), "High (801k - 1.2m)")</f>
        <v>Medium (501k-800k)</v>
      </c>
    </row>
    <row r="367" spans="1:20" x14ac:dyDescent="0.2">
      <c r="A367">
        <v>366</v>
      </c>
      <c r="B367" t="s">
        <v>75</v>
      </c>
      <c r="C367" t="s">
        <v>20</v>
      </c>
      <c r="D367">
        <v>52</v>
      </c>
      <c r="E367" t="s">
        <v>21</v>
      </c>
      <c r="F367" t="s">
        <v>22</v>
      </c>
      <c r="G367">
        <v>386222</v>
      </c>
      <c r="H367" t="s">
        <v>418</v>
      </c>
      <c r="J367" t="s">
        <v>18</v>
      </c>
      <c r="K367">
        <v>4</v>
      </c>
      <c r="L367">
        <v>49</v>
      </c>
      <c r="M367">
        <v>90</v>
      </c>
      <c r="N367">
        <f>IF(Table1[[#This Row],[Employment_Status]]="Exited",1,0)</f>
        <v>0</v>
      </c>
      <c r="O367" t="str" cm="1">
        <f t="array" ref="O367">_xlfn.IFS(AND(Table1[[#This Row],[Age]]&gt;=22,Table1[[#This Row],[Age]]&lt;=35),"22-35",AND(Table1[[#This Row],[Age]]&gt;=36,Table1[[#This Row],[Age]]&lt;=45),"36-45",AND(Table1[[#This Row],[Age]]&gt;=46,Table1[[#This Row],[Age]]&lt;=55),"46-55")</f>
        <v>46-55</v>
      </c>
      <c r="P367">
        <f>IF(Table1[[#This Row],[Employment_Status]]="active",1,0)</f>
        <v>1</v>
      </c>
      <c r="Q367">
        <v>1</v>
      </c>
      <c r="R367" s="6">
        <f ca="1">YEARFRAC(Table1[[#This Row],[Hire_Date]],IF(Table1[[#This Row],[Employment_Status]]="Exited",Table1[[#This Row],[Exit_Date]],TODAY()))</f>
        <v>6.0472222222222225</v>
      </c>
      <c r="S367" t="str" cm="1">
        <f t="array" aca="1" ref="S367" ca="1">_xlfn.IFS(AND(Table1[[#This Row],[Tenure]]&gt;=0,Table1[[#This Row],[Tenure]]&lt;=1),"0-1",AND(Table1[[#This Row],[Tenure]]&gt;1,Table1[[#This Row],[Tenure]]&lt;=3),"1-3",AND(Table1[[#This Row],[Tenure]]&gt;3,Table1[[#This Row],[Tenure]]&lt;=5),"3-5",AND(Table1[[#This Row],[Tenure]]&gt;5,Table1[[#This Row],[Tenure]]&lt;=8),"5-8")</f>
        <v>5-8</v>
      </c>
      <c r="T367" t="str" cm="1">
        <f t="array" ref="T367">_xlfn.IFS(AND(Table1[[#This Row],[Salary]]&gt;=180000, Table1[[#This Row],[Salary]] &lt;=500000),"Low (180k-500k)", AND(Table1[[#This Row],[Salary]]&gt;500000, Table1[[#This Row],[Salary]]&lt;=800000), "Medium (501k-800k)", AND(Table1[[#This Row],[Salary]]&gt;800000, Table1[[#This Row],[Salary]]&lt;1200000), "High (801k - 1.2m)")</f>
        <v>Low (180k-500k)</v>
      </c>
    </row>
    <row r="368" spans="1:20" x14ac:dyDescent="0.2">
      <c r="A368">
        <v>367</v>
      </c>
      <c r="B368" t="s">
        <v>58</v>
      </c>
      <c r="C368" t="s">
        <v>20</v>
      </c>
      <c r="D368">
        <v>54</v>
      </c>
      <c r="E368" t="s">
        <v>15</v>
      </c>
      <c r="F368" t="s">
        <v>34</v>
      </c>
      <c r="G368">
        <v>654642</v>
      </c>
      <c r="H368" t="s">
        <v>419</v>
      </c>
      <c r="J368" t="s">
        <v>18</v>
      </c>
      <c r="K368">
        <v>3</v>
      </c>
      <c r="L368">
        <v>1</v>
      </c>
      <c r="M368">
        <v>92</v>
      </c>
      <c r="N368">
        <f>IF(Table1[[#This Row],[Employment_Status]]="Exited",1,0)</f>
        <v>0</v>
      </c>
      <c r="O368" t="str" cm="1">
        <f t="array" ref="O368">_xlfn.IFS(AND(Table1[[#This Row],[Age]]&gt;=22,Table1[[#This Row],[Age]]&lt;=35),"22-35",AND(Table1[[#This Row],[Age]]&gt;=36,Table1[[#This Row],[Age]]&lt;=45),"36-45",AND(Table1[[#This Row],[Age]]&gt;=46,Table1[[#This Row],[Age]]&lt;=55),"46-55")</f>
        <v>46-55</v>
      </c>
      <c r="P368">
        <f>IF(Table1[[#This Row],[Employment_Status]]="active",1,0)</f>
        <v>1</v>
      </c>
      <c r="Q368">
        <v>1</v>
      </c>
      <c r="R368" s="6">
        <f ca="1">YEARFRAC(Table1[[#This Row],[Hire_Date]],IF(Table1[[#This Row],[Employment_Status]]="Exited",Table1[[#This Row],[Exit_Date]],TODAY()))</f>
        <v>4.6305555555555555</v>
      </c>
      <c r="S368" t="str" cm="1">
        <f t="array" aca="1" ref="S368" ca="1">_xlfn.IFS(AND(Table1[[#This Row],[Tenure]]&gt;=0,Table1[[#This Row],[Tenure]]&lt;=1),"0-1",AND(Table1[[#This Row],[Tenure]]&gt;1,Table1[[#This Row],[Tenure]]&lt;=3),"1-3",AND(Table1[[#This Row],[Tenure]]&gt;3,Table1[[#This Row],[Tenure]]&lt;=5),"3-5",AND(Table1[[#This Row],[Tenure]]&gt;5,Table1[[#This Row],[Tenure]]&lt;=8),"5-8")</f>
        <v>3-5</v>
      </c>
      <c r="T368" t="str" cm="1">
        <f t="array" ref="T368">_xlfn.IFS(AND(Table1[[#This Row],[Salary]]&gt;=180000, Table1[[#This Row],[Salary]] &lt;=500000),"Low (180k-500k)", AND(Table1[[#This Row],[Salary]]&gt;500000, Table1[[#This Row],[Salary]]&lt;=800000), "Medium (501k-800k)", AND(Table1[[#This Row],[Salary]]&gt;800000, Table1[[#This Row],[Salary]]&lt;1200000), "High (801k - 1.2m)")</f>
        <v>Medium (501k-800k)</v>
      </c>
    </row>
    <row r="369" spans="1:20" x14ac:dyDescent="0.2">
      <c r="A369">
        <v>368</v>
      </c>
      <c r="B369" t="s">
        <v>58</v>
      </c>
      <c r="C369" t="s">
        <v>14</v>
      </c>
      <c r="D369">
        <v>34</v>
      </c>
      <c r="E369" t="s">
        <v>15</v>
      </c>
      <c r="F369" t="s">
        <v>27</v>
      </c>
      <c r="G369">
        <v>937848</v>
      </c>
      <c r="H369" t="s">
        <v>420</v>
      </c>
      <c r="J369" t="s">
        <v>18</v>
      </c>
      <c r="K369">
        <v>3</v>
      </c>
      <c r="L369">
        <v>18</v>
      </c>
      <c r="M369">
        <v>73</v>
      </c>
      <c r="N369">
        <f>IF(Table1[[#This Row],[Employment_Status]]="Exited",1,0)</f>
        <v>0</v>
      </c>
      <c r="O369" t="str" cm="1">
        <f t="array" ref="O369">_xlfn.IFS(AND(Table1[[#This Row],[Age]]&gt;=22,Table1[[#This Row],[Age]]&lt;=35),"22-35",AND(Table1[[#This Row],[Age]]&gt;=36,Table1[[#This Row],[Age]]&lt;=45),"36-45",AND(Table1[[#This Row],[Age]]&gt;=46,Table1[[#This Row],[Age]]&lt;=55),"46-55")</f>
        <v>22-35</v>
      </c>
      <c r="P369">
        <f>IF(Table1[[#This Row],[Employment_Status]]="active",1,0)</f>
        <v>1</v>
      </c>
      <c r="Q369">
        <v>1</v>
      </c>
      <c r="R369" s="6">
        <f ca="1">YEARFRAC(Table1[[#This Row],[Hire_Date]],IF(Table1[[#This Row],[Employment_Status]]="Exited",Table1[[#This Row],[Exit_Date]],TODAY()))</f>
        <v>7.1555555555555559</v>
      </c>
      <c r="S369" t="str" cm="1">
        <f t="array" aca="1" ref="S369" ca="1">_xlfn.IFS(AND(Table1[[#This Row],[Tenure]]&gt;=0,Table1[[#This Row],[Tenure]]&lt;=1),"0-1",AND(Table1[[#This Row],[Tenure]]&gt;1,Table1[[#This Row],[Tenure]]&lt;=3),"1-3",AND(Table1[[#This Row],[Tenure]]&gt;3,Table1[[#This Row],[Tenure]]&lt;=5),"3-5",AND(Table1[[#This Row],[Tenure]]&gt;5,Table1[[#This Row],[Tenure]]&lt;=8),"5-8")</f>
        <v>5-8</v>
      </c>
      <c r="T369" t="str" cm="1">
        <f t="array" ref="T369">_xlfn.IFS(AND(Table1[[#This Row],[Salary]]&gt;=180000, Table1[[#This Row],[Salary]] &lt;=500000),"Low (180k-500k)", AND(Table1[[#This Row],[Salary]]&gt;500000, Table1[[#This Row],[Salary]]&lt;=800000), "Medium (501k-800k)", AND(Table1[[#This Row],[Salary]]&gt;800000, Table1[[#This Row],[Salary]]&lt;1200000), "High (801k - 1.2m)")</f>
        <v>High (801k - 1.2m)</v>
      </c>
    </row>
    <row r="370" spans="1:20" x14ac:dyDescent="0.2">
      <c r="A370">
        <v>369</v>
      </c>
      <c r="B370" t="s">
        <v>31</v>
      </c>
      <c r="C370" t="s">
        <v>20</v>
      </c>
      <c r="D370">
        <v>28</v>
      </c>
      <c r="E370" t="s">
        <v>15</v>
      </c>
      <c r="F370" t="s">
        <v>27</v>
      </c>
      <c r="G370">
        <v>712851</v>
      </c>
      <c r="H370" t="s">
        <v>421</v>
      </c>
      <c r="J370" t="s">
        <v>18</v>
      </c>
      <c r="K370">
        <v>2</v>
      </c>
      <c r="L370">
        <v>27</v>
      </c>
      <c r="M370">
        <v>82</v>
      </c>
      <c r="N370">
        <f>IF(Table1[[#This Row],[Employment_Status]]="Exited",1,0)</f>
        <v>0</v>
      </c>
      <c r="O370" t="str" cm="1">
        <f t="array" ref="O370">_xlfn.IFS(AND(Table1[[#This Row],[Age]]&gt;=22,Table1[[#This Row],[Age]]&lt;=35),"22-35",AND(Table1[[#This Row],[Age]]&gt;=36,Table1[[#This Row],[Age]]&lt;=45),"36-45",AND(Table1[[#This Row],[Age]]&gt;=46,Table1[[#This Row],[Age]]&lt;=55),"46-55")</f>
        <v>22-35</v>
      </c>
      <c r="P370">
        <f>IF(Table1[[#This Row],[Employment_Status]]="active",1,0)</f>
        <v>1</v>
      </c>
      <c r="Q370">
        <v>1</v>
      </c>
      <c r="R370" s="6">
        <f ca="1">YEARFRAC(Table1[[#This Row],[Hire_Date]],IF(Table1[[#This Row],[Employment_Status]]="Exited",Table1[[#This Row],[Exit_Date]],TODAY()))</f>
        <v>4.5277777777777777</v>
      </c>
      <c r="S370" t="str" cm="1">
        <f t="array" aca="1" ref="S370" ca="1">_xlfn.IFS(AND(Table1[[#This Row],[Tenure]]&gt;=0,Table1[[#This Row],[Tenure]]&lt;=1),"0-1",AND(Table1[[#This Row],[Tenure]]&gt;1,Table1[[#This Row],[Tenure]]&lt;=3),"1-3",AND(Table1[[#This Row],[Tenure]]&gt;3,Table1[[#This Row],[Tenure]]&lt;=5),"3-5",AND(Table1[[#This Row],[Tenure]]&gt;5,Table1[[#This Row],[Tenure]]&lt;=8),"5-8")</f>
        <v>3-5</v>
      </c>
      <c r="T370" t="str" cm="1">
        <f t="array" ref="T370">_xlfn.IFS(AND(Table1[[#This Row],[Salary]]&gt;=180000, Table1[[#This Row],[Salary]] &lt;=500000),"Low (180k-500k)", AND(Table1[[#This Row],[Salary]]&gt;500000, Table1[[#This Row],[Salary]]&lt;=800000), "Medium (501k-800k)", AND(Table1[[#This Row],[Salary]]&gt;800000, Table1[[#This Row],[Salary]]&lt;1200000), "High (801k - 1.2m)")</f>
        <v>Medium (501k-800k)</v>
      </c>
    </row>
    <row r="371" spans="1:20" x14ac:dyDescent="0.2">
      <c r="A371">
        <v>370</v>
      </c>
      <c r="B371" t="s">
        <v>13</v>
      </c>
      <c r="C371" t="s">
        <v>20</v>
      </c>
      <c r="D371">
        <v>44</v>
      </c>
      <c r="E371" t="s">
        <v>15</v>
      </c>
      <c r="F371" t="s">
        <v>27</v>
      </c>
      <c r="G371">
        <v>502462</v>
      </c>
      <c r="H371" t="s">
        <v>422</v>
      </c>
      <c r="J371" t="s">
        <v>18</v>
      </c>
      <c r="K371">
        <v>3</v>
      </c>
      <c r="L371">
        <v>8</v>
      </c>
      <c r="M371">
        <v>96</v>
      </c>
      <c r="N371">
        <f>IF(Table1[[#This Row],[Employment_Status]]="Exited",1,0)</f>
        <v>0</v>
      </c>
      <c r="O371" t="str" cm="1">
        <f t="array" ref="O371">_xlfn.IFS(AND(Table1[[#This Row],[Age]]&gt;=22,Table1[[#This Row],[Age]]&lt;=35),"22-35",AND(Table1[[#This Row],[Age]]&gt;=36,Table1[[#This Row],[Age]]&lt;=45),"36-45",AND(Table1[[#This Row],[Age]]&gt;=46,Table1[[#This Row],[Age]]&lt;=55),"46-55")</f>
        <v>36-45</v>
      </c>
      <c r="P371">
        <f>IF(Table1[[#This Row],[Employment_Status]]="active",1,0)</f>
        <v>1</v>
      </c>
      <c r="Q371">
        <v>1</v>
      </c>
      <c r="R371" s="6">
        <f ca="1">YEARFRAC(Table1[[#This Row],[Hire_Date]],IF(Table1[[#This Row],[Employment_Status]]="Exited",Table1[[#This Row],[Exit_Date]],TODAY()))</f>
        <v>3.7833333333333332</v>
      </c>
      <c r="S371" t="str" cm="1">
        <f t="array" aca="1" ref="S371" ca="1">_xlfn.IFS(AND(Table1[[#This Row],[Tenure]]&gt;=0,Table1[[#This Row],[Tenure]]&lt;=1),"0-1",AND(Table1[[#This Row],[Tenure]]&gt;1,Table1[[#This Row],[Tenure]]&lt;=3),"1-3",AND(Table1[[#This Row],[Tenure]]&gt;3,Table1[[#This Row],[Tenure]]&lt;=5),"3-5",AND(Table1[[#This Row],[Tenure]]&gt;5,Table1[[#This Row],[Tenure]]&lt;=8),"5-8")</f>
        <v>3-5</v>
      </c>
      <c r="T371" t="str" cm="1">
        <f t="array" ref="T371">_xlfn.IFS(AND(Table1[[#This Row],[Salary]]&gt;=180000, Table1[[#This Row],[Salary]] &lt;=500000),"Low (180k-500k)", AND(Table1[[#This Row],[Salary]]&gt;500000, Table1[[#This Row],[Salary]]&lt;=800000), "Medium (501k-800k)", AND(Table1[[#This Row],[Salary]]&gt;800000, Table1[[#This Row],[Salary]]&lt;1200000), "High (801k - 1.2m)")</f>
        <v>Medium (501k-800k)</v>
      </c>
    </row>
    <row r="372" spans="1:20" x14ac:dyDescent="0.2">
      <c r="A372">
        <v>371</v>
      </c>
      <c r="B372" t="s">
        <v>13</v>
      </c>
      <c r="C372" t="s">
        <v>14</v>
      </c>
      <c r="D372">
        <v>48</v>
      </c>
      <c r="E372" t="s">
        <v>15</v>
      </c>
      <c r="F372" t="s">
        <v>16</v>
      </c>
      <c r="G372">
        <v>1148241</v>
      </c>
      <c r="H372" t="s">
        <v>423</v>
      </c>
      <c r="J372" t="s">
        <v>18</v>
      </c>
      <c r="K372">
        <v>2</v>
      </c>
      <c r="L372">
        <v>29</v>
      </c>
      <c r="M372">
        <v>78</v>
      </c>
      <c r="N372">
        <f>IF(Table1[[#This Row],[Employment_Status]]="Exited",1,0)</f>
        <v>0</v>
      </c>
      <c r="O372" t="str" cm="1">
        <f t="array" ref="O372">_xlfn.IFS(AND(Table1[[#This Row],[Age]]&gt;=22,Table1[[#This Row],[Age]]&lt;=35),"22-35",AND(Table1[[#This Row],[Age]]&gt;=36,Table1[[#This Row],[Age]]&lt;=45),"36-45",AND(Table1[[#This Row],[Age]]&gt;=46,Table1[[#This Row],[Age]]&lt;=55),"46-55")</f>
        <v>46-55</v>
      </c>
      <c r="P372">
        <f>IF(Table1[[#This Row],[Employment_Status]]="active",1,0)</f>
        <v>1</v>
      </c>
      <c r="Q372">
        <v>1</v>
      </c>
      <c r="R372" s="6">
        <f ca="1">YEARFRAC(Table1[[#This Row],[Hire_Date]],IF(Table1[[#This Row],[Employment_Status]]="Exited",Table1[[#This Row],[Exit_Date]],TODAY()))</f>
        <v>3.8305555555555557</v>
      </c>
      <c r="S372" t="str" cm="1">
        <f t="array" aca="1" ref="S372" ca="1">_xlfn.IFS(AND(Table1[[#This Row],[Tenure]]&gt;=0,Table1[[#This Row],[Tenure]]&lt;=1),"0-1",AND(Table1[[#This Row],[Tenure]]&gt;1,Table1[[#This Row],[Tenure]]&lt;=3),"1-3",AND(Table1[[#This Row],[Tenure]]&gt;3,Table1[[#This Row],[Tenure]]&lt;=5),"3-5",AND(Table1[[#This Row],[Tenure]]&gt;5,Table1[[#This Row],[Tenure]]&lt;=8),"5-8")</f>
        <v>3-5</v>
      </c>
      <c r="T372" t="str" cm="1">
        <f t="array" ref="T372">_xlfn.IFS(AND(Table1[[#This Row],[Salary]]&gt;=180000, Table1[[#This Row],[Salary]] &lt;=500000),"Low (180k-500k)", AND(Table1[[#This Row],[Salary]]&gt;500000, Table1[[#This Row],[Salary]]&lt;=800000), "Medium (501k-800k)", AND(Table1[[#This Row],[Salary]]&gt;800000, Table1[[#This Row],[Salary]]&lt;1200000), "High (801k - 1.2m)")</f>
        <v>High (801k - 1.2m)</v>
      </c>
    </row>
    <row r="373" spans="1:20" x14ac:dyDescent="0.2">
      <c r="A373">
        <v>372</v>
      </c>
      <c r="B373" t="s">
        <v>19</v>
      </c>
      <c r="C373" t="s">
        <v>20</v>
      </c>
      <c r="D373">
        <v>31</v>
      </c>
      <c r="E373" t="s">
        <v>61</v>
      </c>
      <c r="F373" t="s">
        <v>34</v>
      </c>
      <c r="G373">
        <v>180877</v>
      </c>
      <c r="H373" t="s">
        <v>168</v>
      </c>
      <c r="J373" t="s">
        <v>18</v>
      </c>
      <c r="K373">
        <v>1</v>
      </c>
      <c r="L373">
        <v>19</v>
      </c>
      <c r="M373">
        <v>90</v>
      </c>
      <c r="N373">
        <f>IF(Table1[[#This Row],[Employment_Status]]="Exited",1,0)</f>
        <v>0</v>
      </c>
      <c r="O373" t="str" cm="1">
        <f t="array" ref="O373">_xlfn.IFS(AND(Table1[[#This Row],[Age]]&gt;=22,Table1[[#This Row],[Age]]&lt;=35),"22-35",AND(Table1[[#This Row],[Age]]&gt;=36,Table1[[#This Row],[Age]]&lt;=45),"36-45",AND(Table1[[#This Row],[Age]]&gt;=46,Table1[[#This Row],[Age]]&lt;=55),"46-55")</f>
        <v>22-35</v>
      </c>
      <c r="P373">
        <f>IF(Table1[[#This Row],[Employment_Status]]="active",1,0)</f>
        <v>1</v>
      </c>
      <c r="Q373">
        <v>1</v>
      </c>
      <c r="R373" s="6">
        <f ca="1">YEARFRAC(Table1[[#This Row],[Hire_Date]],IF(Table1[[#This Row],[Employment_Status]]="Exited",Table1[[#This Row],[Exit_Date]],TODAY()))</f>
        <v>5.0638888888888891</v>
      </c>
      <c r="S373" t="str" cm="1">
        <f t="array" aca="1" ref="S373" ca="1">_xlfn.IFS(AND(Table1[[#This Row],[Tenure]]&gt;=0,Table1[[#This Row],[Tenure]]&lt;=1),"0-1",AND(Table1[[#This Row],[Tenure]]&gt;1,Table1[[#This Row],[Tenure]]&lt;=3),"1-3",AND(Table1[[#This Row],[Tenure]]&gt;3,Table1[[#This Row],[Tenure]]&lt;=5),"3-5",AND(Table1[[#This Row],[Tenure]]&gt;5,Table1[[#This Row],[Tenure]]&lt;=8),"5-8")</f>
        <v>5-8</v>
      </c>
      <c r="T373" t="str" cm="1">
        <f t="array" ref="T373">_xlfn.IFS(AND(Table1[[#This Row],[Salary]]&gt;=180000, Table1[[#This Row],[Salary]] &lt;=500000),"Low (180k-500k)", AND(Table1[[#This Row],[Salary]]&gt;500000, Table1[[#This Row],[Salary]]&lt;=800000), "Medium (501k-800k)", AND(Table1[[#This Row],[Salary]]&gt;800000, Table1[[#This Row],[Salary]]&lt;1200000), "High (801k - 1.2m)")</f>
        <v>Low (180k-500k)</v>
      </c>
    </row>
    <row r="374" spans="1:20" x14ac:dyDescent="0.2">
      <c r="A374">
        <v>373</v>
      </c>
      <c r="B374" t="s">
        <v>58</v>
      </c>
      <c r="C374" t="s">
        <v>14</v>
      </c>
      <c r="D374">
        <v>30</v>
      </c>
      <c r="E374" t="s">
        <v>15</v>
      </c>
      <c r="F374" t="s">
        <v>22</v>
      </c>
      <c r="G374">
        <v>439549</v>
      </c>
      <c r="H374" t="s">
        <v>424</v>
      </c>
      <c r="J374" t="s">
        <v>18</v>
      </c>
      <c r="K374">
        <v>4</v>
      </c>
      <c r="L374">
        <v>47</v>
      </c>
      <c r="M374">
        <v>83</v>
      </c>
      <c r="N374">
        <f>IF(Table1[[#This Row],[Employment_Status]]="Exited",1,0)</f>
        <v>0</v>
      </c>
      <c r="O374" t="str" cm="1">
        <f t="array" ref="O374">_xlfn.IFS(AND(Table1[[#This Row],[Age]]&gt;=22,Table1[[#This Row],[Age]]&lt;=35),"22-35",AND(Table1[[#This Row],[Age]]&gt;=36,Table1[[#This Row],[Age]]&lt;=45),"36-45",AND(Table1[[#This Row],[Age]]&gt;=46,Table1[[#This Row],[Age]]&lt;=55),"46-55")</f>
        <v>22-35</v>
      </c>
      <c r="P374">
        <f>IF(Table1[[#This Row],[Employment_Status]]="active",1,0)</f>
        <v>1</v>
      </c>
      <c r="Q374">
        <v>1</v>
      </c>
      <c r="R374" s="6">
        <f ca="1">YEARFRAC(Table1[[#This Row],[Hire_Date]],IF(Table1[[#This Row],[Employment_Status]]="Exited",Table1[[#This Row],[Exit_Date]],TODAY()))</f>
        <v>5.6055555555555552</v>
      </c>
      <c r="S374" t="str" cm="1">
        <f t="array" aca="1" ref="S374" ca="1">_xlfn.IFS(AND(Table1[[#This Row],[Tenure]]&gt;=0,Table1[[#This Row],[Tenure]]&lt;=1),"0-1",AND(Table1[[#This Row],[Tenure]]&gt;1,Table1[[#This Row],[Tenure]]&lt;=3),"1-3",AND(Table1[[#This Row],[Tenure]]&gt;3,Table1[[#This Row],[Tenure]]&lt;=5),"3-5",AND(Table1[[#This Row],[Tenure]]&gt;5,Table1[[#This Row],[Tenure]]&lt;=8),"5-8")</f>
        <v>5-8</v>
      </c>
      <c r="T374" t="str" cm="1">
        <f t="array" ref="T374">_xlfn.IFS(AND(Table1[[#This Row],[Salary]]&gt;=180000, Table1[[#This Row],[Salary]] &lt;=500000),"Low (180k-500k)", AND(Table1[[#This Row],[Salary]]&gt;500000, Table1[[#This Row],[Salary]]&lt;=800000), "Medium (501k-800k)", AND(Table1[[#This Row],[Salary]]&gt;800000, Table1[[#This Row],[Salary]]&lt;1200000), "High (801k - 1.2m)")</f>
        <v>Low (180k-500k)</v>
      </c>
    </row>
    <row r="375" spans="1:20" x14ac:dyDescent="0.2">
      <c r="A375">
        <v>374</v>
      </c>
      <c r="B375" t="s">
        <v>26</v>
      </c>
      <c r="C375" t="s">
        <v>14</v>
      </c>
      <c r="D375">
        <v>22</v>
      </c>
      <c r="E375" t="s">
        <v>15</v>
      </c>
      <c r="F375" t="s">
        <v>34</v>
      </c>
      <c r="G375">
        <v>617578</v>
      </c>
      <c r="H375" t="s">
        <v>425</v>
      </c>
      <c r="J375" t="s">
        <v>18</v>
      </c>
      <c r="K375">
        <v>1</v>
      </c>
      <c r="L375">
        <v>16</v>
      </c>
      <c r="M375">
        <v>73</v>
      </c>
      <c r="N375">
        <f>IF(Table1[[#This Row],[Employment_Status]]="Exited",1,0)</f>
        <v>0</v>
      </c>
      <c r="O375" t="str" cm="1">
        <f t="array" ref="O375">_xlfn.IFS(AND(Table1[[#This Row],[Age]]&gt;=22,Table1[[#This Row],[Age]]&lt;=35),"22-35",AND(Table1[[#This Row],[Age]]&gt;=36,Table1[[#This Row],[Age]]&lt;=45),"36-45",AND(Table1[[#This Row],[Age]]&gt;=46,Table1[[#This Row],[Age]]&lt;=55),"46-55")</f>
        <v>22-35</v>
      </c>
      <c r="P375">
        <f>IF(Table1[[#This Row],[Employment_Status]]="active",1,0)</f>
        <v>1</v>
      </c>
      <c r="Q375">
        <v>1</v>
      </c>
      <c r="R375" s="6">
        <f ca="1">YEARFRAC(Table1[[#This Row],[Hire_Date]],IF(Table1[[#This Row],[Employment_Status]]="Exited",Table1[[#This Row],[Exit_Date]],TODAY()))</f>
        <v>5.4111111111111114</v>
      </c>
      <c r="S375" t="str" cm="1">
        <f t="array" aca="1" ref="S375" ca="1">_xlfn.IFS(AND(Table1[[#This Row],[Tenure]]&gt;=0,Table1[[#This Row],[Tenure]]&lt;=1),"0-1",AND(Table1[[#This Row],[Tenure]]&gt;1,Table1[[#This Row],[Tenure]]&lt;=3),"1-3",AND(Table1[[#This Row],[Tenure]]&gt;3,Table1[[#This Row],[Tenure]]&lt;=5),"3-5",AND(Table1[[#This Row],[Tenure]]&gt;5,Table1[[#This Row],[Tenure]]&lt;=8),"5-8")</f>
        <v>5-8</v>
      </c>
      <c r="T375" t="str" cm="1">
        <f t="array" ref="T375">_xlfn.IFS(AND(Table1[[#This Row],[Salary]]&gt;=180000, Table1[[#This Row],[Salary]] &lt;=500000),"Low (180k-500k)", AND(Table1[[#This Row],[Salary]]&gt;500000, Table1[[#This Row],[Salary]]&lt;=800000), "Medium (501k-800k)", AND(Table1[[#This Row],[Salary]]&gt;800000, Table1[[#This Row],[Salary]]&lt;1200000), "High (801k - 1.2m)")</f>
        <v>Medium (501k-800k)</v>
      </c>
    </row>
    <row r="376" spans="1:20" x14ac:dyDescent="0.2">
      <c r="A376">
        <v>375</v>
      </c>
      <c r="B376" t="s">
        <v>31</v>
      </c>
      <c r="C376" t="s">
        <v>20</v>
      </c>
      <c r="D376">
        <v>43</v>
      </c>
      <c r="E376" t="s">
        <v>21</v>
      </c>
      <c r="F376" t="s">
        <v>27</v>
      </c>
      <c r="G376">
        <v>443805</v>
      </c>
      <c r="H376" t="s">
        <v>426</v>
      </c>
      <c r="I376" t="s">
        <v>399</v>
      </c>
      <c r="J376" t="s">
        <v>55</v>
      </c>
      <c r="K376">
        <v>5</v>
      </c>
      <c r="L376">
        <v>46</v>
      </c>
      <c r="M376">
        <v>73</v>
      </c>
      <c r="N376">
        <f>IF(Table1[[#This Row],[Employment_Status]]="Exited",1,0)</f>
        <v>1</v>
      </c>
      <c r="O376" t="str" cm="1">
        <f t="array" ref="O376">_xlfn.IFS(AND(Table1[[#This Row],[Age]]&gt;=22,Table1[[#This Row],[Age]]&lt;=35),"22-35",AND(Table1[[#This Row],[Age]]&gt;=36,Table1[[#This Row],[Age]]&lt;=45),"36-45",AND(Table1[[#This Row],[Age]]&gt;=46,Table1[[#This Row],[Age]]&lt;=55),"46-55")</f>
        <v>36-45</v>
      </c>
      <c r="P376">
        <f>IF(Table1[[#This Row],[Employment_Status]]="active",1,0)</f>
        <v>0</v>
      </c>
      <c r="Q376">
        <v>1</v>
      </c>
      <c r="R376" s="6">
        <f ca="1">YEARFRAC(Table1[[#This Row],[Hire_Date]],IF(Table1[[#This Row],[Employment_Status]]="Exited",Table1[[#This Row],[Exit_Date]],TODAY()))</f>
        <v>2.5222222222222221</v>
      </c>
      <c r="S376" t="str" cm="1">
        <f t="array" aca="1" ref="S376" ca="1">_xlfn.IFS(AND(Table1[[#This Row],[Tenure]]&gt;=0,Table1[[#This Row],[Tenure]]&lt;=1),"0-1",AND(Table1[[#This Row],[Tenure]]&gt;1,Table1[[#This Row],[Tenure]]&lt;=3),"1-3",AND(Table1[[#This Row],[Tenure]]&gt;3,Table1[[#This Row],[Tenure]]&lt;=5),"3-5",AND(Table1[[#This Row],[Tenure]]&gt;5,Table1[[#This Row],[Tenure]]&lt;=8),"5-8")</f>
        <v>1-3</v>
      </c>
      <c r="T376" t="str" cm="1">
        <f t="array" ref="T376">_xlfn.IFS(AND(Table1[[#This Row],[Salary]]&gt;=180000, Table1[[#This Row],[Salary]] &lt;=500000),"Low (180k-500k)", AND(Table1[[#This Row],[Salary]]&gt;500000, Table1[[#This Row],[Salary]]&lt;=800000), "Medium (501k-800k)", AND(Table1[[#This Row],[Salary]]&gt;800000, Table1[[#This Row],[Salary]]&lt;1200000), "High (801k - 1.2m)")</f>
        <v>Low (180k-500k)</v>
      </c>
    </row>
    <row r="377" spans="1:20" x14ac:dyDescent="0.2">
      <c r="A377">
        <v>376</v>
      </c>
      <c r="B377" t="s">
        <v>19</v>
      </c>
      <c r="C377" t="s">
        <v>14</v>
      </c>
      <c r="D377">
        <v>51</v>
      </c>
      <c r="E377" t="s">
        <v>21</v>
      </c>
      <c r="F377" t="s">
        <v>34</v>
      </c>
      <c r="G377">
        <v>552390</v>
      </c>
      <c r="H377" t="s">
        <v>427</v>
      </c>
      <c r="I377" t="s">
        <v>428</v>
      </c>
      <c r="J377" t="s">
        <v>55</v>
      </c>
      <c r="K377">
        <v>5</v>
      </c>
      <c r="L377">
        <v>33</v>
      </c>
      <c r="M377">
        <v>66</v>
      </c>
      <c r="N377">
        <f>IF(Table1[[#This Row],[Employment_Status]]="Exited",1,0)</f>
        <v>1</v>
      </c>
      <c r="O377" t="str" cm="1">
        <f t="array" ref="O377">_xlfn.IFS(AND(Table1[[#This Row],[Age]]&gt;=22,Table1[[#This Row],[Age]]&lt;=35),"22-35",AND(Table1[[#This Row],[Age]]&gt;=36,Table1[[#This Row],[Age]]&lt;=45),"36-45",AND(Table1[[#This Row],[Age]]&gt;=46,Table1[[#This Row],[Age]]&lt;=55),"46-55")</f>
        <v>46-55</v>
      </c>
      <c r="P377">
        <f>IF(Table1[[#This Row],[Employment_Status]]="active",1,0)</f>
        <v>0</v>
      </c>
      <c r="Q377">
        <v>1</v>
      </c>
      <c r="R377" s="6">
        <f ca="1">YEARFRAC(Table1[[#This Row],[Hire_Date]],IF(Table1[[#This Row],[Employment_Status]]="Exited",Table1[[#This Row],[Exit_Date]],TODAY()))</f>
        <v>2.0083333333333333</v>
      </c>
      <c r="S377" t="str" cm="1">
        <f t="array" aca="1" ref="S377" ca="1">_xlfn.IFS(AND(Table1[[#This Row],[Tenure]]&gt;=0,Table1[[#This Row],[Tenure]]&lt;=1),"0-1",AND(Table1[[#This Row],[Tenure]]&gt;1,Table1[[#This Row],[Tenure]]&lt;=3),"1-3",AND(Table1[[#This Row],[Tenure]]&gt;3,Table1[[#This Row],[Tenure]]&lt;=5),"3-5",AND(Table1[[#This Row],[Tenure]]&gt;5,Table1[[#This Row],[Tenure]]&lt;=8),"5-8")</f>
        <v>1-3</v>
      </c>
      <c r="T377" t="str" cm="1">
        <f t="array" ref="T377">_xlfn.IFS(AND(Table1[[#This Row],[Salary]]&gt;=180000, Table1[[#This Row],[Salary]] &lt;=500000),"Low (180k-500k)", AND(Table1[[#This Row],[Salary]]&gt;500000, Table1[[#This Row],[Salary]]&lt;=800000), "Medium (501k-800k)", AND(Table1[[#This Row],[Salary]]&gt;800000, Table1[[#This Row],[Salary]]&lt;1200000), "High (801k - 1.2m)")</f>
        <v>Medium (501k-800k)</v>
      </c>
    </row>
    <row r="378" spans="1:20" x14ac:dyDescent="0.2">
      <c r="A378">
        <v>377</v>
      </c>
      <c r="B378" t="s">
        <v>24</v>
      </c>
      <c r="C378" t="s">
        <v>14</v>
      </c>
      <c r="D378">
        <v>32</v>
      </c>
      <c r="E378" t="s">
        <v>49</v>
      </c>
      <c r="F378" t="s">
        <v>27</v>
      </c>
      <c r="G378">
        <v>205026</v>
      </c>
      <c r="H378" t="s">
        <v>138</v>
      </c>
      <c r="J378" t="s">
        <v>18</v>
      </c>
      <c r="K378">
        <v>4</v>
      </c>
      <c r="L378">
        <v>26</v>
      </c>
      <c r="M378">
        <v>76</v>
      </c>
      <c r="N378">
        <f>IF(Table1[[#This Row],[Employment_Status]]="Exited",1,0)</f>
        <v>0</v>
      </c>
      <c r="O378" t="str" cm="1">
        <f t="array" ref="O378">_xlfn.IFS(AND(Table1[[#This Row],[Age]]&gt;=22,Table1[[#This Row],[Age]]&lt;=35),"22-35",AND(Table1[[#This Row],[Age]]&gt;=36,Table1[[#This Row],[Age]]&lt;=45),"36-45",AND(Table1[[#This Row],[Age]]&gt;=46,Table1[[#This Row],[Age]]&lt;=55),"46-55")</f>
        <v>22-35</v>
      </c>
      <c r="P378">
        <f>IF(Table1[[#This Row],[Employment_Status]]="active",1,0)</f>
        <v>1</v>
      </c>
      <c r="Q378">
        <v>1</v>
      </c>
      <c r="R378" s="6">
        <f ca="1">YEARFRAC(Table1[[#This Row],[Hire_Date]],IF(Table1[[#This Row],[Employment_Status]]="Exited",Table1[[#This Row],[Exit_Date]],TODAY()))</f>
        <v>6.5138888888888893</v>
      </c>
      <c r="S378" t="str" cm="1">
        <f t="array" aca="1" ref="S378" ca="1">_xlfn.IFS(AND(Table1[[#This Row],[Tenure]]&gt;=0,Table1[[#This Row],[Tenure]]&lt;=1),"0-1",AND(Table1[[#This Row],[Tenure]]&gt;1,Table1[[#This Row],[Tenure]]&lt;=3),"1-3",AND(Table1[[#This Row],[Tenure]]&gt;3,Table1[[#This Row],[Tenure]]&lt;=5),"3-5",AND(Table1[[#This Row],[Tenure]]&gt;5,Table1[[#This Row],[Tenure]]&lt;=8),"5-8")</f>
        <v>5-8</v>
      </c>
      <c r="T378" t="str" cm="1">
        <f t="array" ref="T378">_xlfn.IFS(AND(Table1[[#This Row],[Salary]]&gt;=180000, Table1[[#This Row],[Salary]] &lt;=500000),"Low (180k-500k)", AND(Table1[[#This Row],[Salary]]&gt;500000, Table1[[#This Row],[Salary]]&lt;=800000), "Medium (501k-800k)", AND(Table1[[#This Row],[Salary]]&gt;800000, Table1[[#This Row],[Salary]]&lt;1200000), "High (801k - 1.2m)")</f>
        <v>Low (180k-500k)</v>
      </c>
    </row>
    <row r="379" spans="1:20" x14ac:dyDescent="0.2">
      <c r="A379">
        <v>378</v>
      </c>
      <c r="B379" t="s">
        <v>75</v>
      </c>
      <c r="C379" t="s">
        <v>14</v>
      </c>
      <c r="D379">
        <v>50</v>
      </c>
      <c r="E379" t="s">
        <v>15</v>
      </c>
      <c r="F379" t="s">
        <v>22</v>
      </c>
      <c r="G379">
        <v>955987</v>
      </c>
      <c r="H379" t="s">
        <v>429</v>
      </c>
      <c r="J379" t="s">
        <v>18</v>
      </c>
      <c r="K379">
        <v>4</v>
      </c>
      <c r="L379">
        <v>38</v>
      </c>
      <c r="M379">
        <v>80</v>
      </c>
      <c r="N379">
        <f>IF(Table1[[#This Row],[Employment_Status]]="Exited",1,0)</f>
        <v>0</v>
      </c>
      <c r="O379" t="str" cm="1">
        <f t="array" ref="O379">_xlfn.IFS(AND(Table1[[#This Row],[Age]]&gt;=22,Table1[[#This Row],[Age]]&lt;=35),"22-35",AND(Table1[[#This Row],[Age]]&gt;=36,Table1[[#This Row],[Age]]&lt;=45),"36-45",AND(Table1[[#This Row],[Age]]&gt;=46,Table1[[#This Row],[Age]]&lt;=55),"46-55")</f>
        <v>46-55</v>
      </c>
      <c r="P379">
        <f>IF(Table1[[#This Row],[Employment_Status]]="active",1,0)</f>
        <v>1</v>
      </c>
      <c r="Q379">
        <v>1</v>
      </c>
      <c r="R379" s="6">
        <f ca="1">YEARFRAC(Table1[[#This Row],[Hire_Date]],IF(Table1[[#This Row],[Employment_Status]]="Exited",Table1[[#This Row],[Exit_Date]],TODAY()))</f>
        <v>5.4333333333333336</v>
      </c>
      <c r="S379" t="str" cm="1">
        <f t="array" aca="1" ref="S379" ca="1">_xlfn.IFS(AND(Table1[[#This Row],[Tenure]]&gt;=0,Table1[[#This Row],[Tenure]]&lt;=1),"0-1",AND(Table1[[#This Row],[Tenure]]&gt;1,Table1[[#This Row],[Tenure]]&lt;=3),"1-3",AND(Table1[[#This Row],[Tenure]]&gt;3,Table1[[#This Row],[Tenure]]&lt;=5),"3-5",AND(Table1[[#This Row],[Tenure]]&gt;5,Table1[[#This Row],[Tenure]]&lt;=8),"5-8")</f>
        <v>5-8</v>
      </c>
      <c r="T379" t="str" cm="1">
        <f t="array" ref="T379">_xlfn.IFS(AND(Table1[[#This Row],[Salary]]&gt;=180000, Table1[[#This Row],[Salary]] &lt;=500000),"Low (180k-500k)", AND(Table1[[#This Row],[Salary]]&gt;500000, Table1[[#This Row],[Salary]]&lt;=800000), "Medium (501k-800k)", AND(Table1[[#This Row],[Salary]]&gt;800000, Table1[[#This Row],[Salary]]&lt;1200000), "High (801k - 1.2m)")</f>
        <v>High (801k - 1.2m)</v>
      </c>
    </row>
    <row r="380" spans="1:20" x14ac:dyDescent="0.2">
      <c r="A380">
        <v>379</v>
      </c>
      <c r="B380" t="s">
        <v>19</v>
      </c>
      <c r="C380" t="s">
        <v>14</v>
      </c>
      <c r="D380">
        <v>25</v>
      </c>
      <c r="E380" t="s">
        <v>15</v>
      </c>
      <c r="F380" t="s">
        <v>16</v>
      </c>
      <c r="G380">
        <v>1129077</v>
      </c>
      <c r="H380" t="s">
        <v>430</v>
      </c>
      <c r="J380" t="s">
        <v>18</v>
      </c>
      <c r="K380">
        <v>3</v>
      </c>
      <c r="L380">
        <v>1</v>
      </c>
      <c r="M380">
        <v>95</v>
      </c>
      <c r="N380">
        <f>IF(Table1[[#This Row],[Employment_Status]]="Exited",1,0)</f>
        <v>0</v>
      </c>
      <c r="O380" t="str" cm="1">
        <f t="array" ref="O380">_xlfn.IFS(AND(Table1[[#This Row],[Age]]&gt;=22,Table1[[#This Row],[Age]]&lt;=35),"22-35",AND(Table1[[#This Row],[Age]]&gt;=36,Table1[[#This Row],[Age]]&lt;=45),"36-45",AND(Table1[[#This Row],[Age]]&gt;=46,Table1[[#This Row],[Age]]&lt;=55),"46-55")</f>
        <v>22-35</v>
      </c>
      <c r="P380">
        <f>IF(Table1[[#This Row],[Employment_Status]]="active",1,0)</f>
        <v>1</v>
      </c>
      <c r="Q380">
        <v>1</v>
      </c>
      <c r="R380" s="6">
        <f ca="1">YEARFRAC(Table1[[#This Row],[Hire_Date]],IF(Table1[[#This Row],[Employment_Status]]="Exited",Table1[[#This Row],[Exit_Date]],TODAY()))</f>
        <v>4.3555555555555552</v>
      </c>
      <c r="S380" t="str" cm="1">
        <f t="array" aca="1" ref="S380" ca="1">_xlfn.IFS(AND(Table1[[#This Row],[Tenure]]&gt;=0,Table1[[#This Row],[Tenure]]&lt;=1),"0-1",AND(Table1[[#This Row],[Tenure]]&gt;1,Table1[[#This Row],[Tenure]]&lt;=3),"1-3",AND(Table1[[#This Row],[Tenure]]&gt;3,Table1[[#This Row],[Tenure]]&lt;=5),"3-5",AND(Table1[[#This Row],[Tenure]]&gt;5,Table1[[#This Row],[Tenure]]&lt;=8),"5-8")</f>
        <v>3-5</v>
      </c>
      <c r="T380" t="str" cm="1">
        <f t="array" ref="T380">_xlfn.IFS(AND(Table1[[#This Row],[Salary]]&gt;=180000, Table1[[#This Row],[Salary]] &lt;=500000),"Low (180k-500k)", AND(Table1[[#This Row],[Salary]]&gt;500000, Table1[[#This Row],[Salary]]&lt;=800000), "Medium (501k-800k)", AND(Table1[[#This Row],[Salary]]&gt;800000, Table1[[#This Row],[Salary]]&lt;1200000), "High (801k - 1.2m)")</f>
        <v>High (801k - 1.2m)</v>
      </c>
    </row>
    <row r="381" spans="1:20" x14ac:dyDescent="0.2">
      <c r="A381">
        <v>380</v>
      </c>
      <c r="B381" t="s">
        <v>36</v>
      </c>
      <c r="C381" t="s">
        <v>14</v>
      </c>
      <c r="D381">
        <v>53</v>
      </c>
      <c r="E381" t="s">
        <v>45</v>
      </c>
      <c r="F381" t="s">
        <v>16</v>
      </c>
      <c r="G381">
        <v>338575</v>
      </c>
      <c r="H381" t="s">
        <v>431</v>
      </c>
      <c r="J381" t="s">
        <v>18</v>
      </c>
      <c r="K381">
        <v>4</v>
      </c>
      <c r="L381">
        <v>8</v>
      </c>
      <c r="M381">
        <v>74</v>
      </c>
      <c r="N381">
        <f>IF(Table1[[#This Row],[Employment_Status]]="Exited",1,0)</f>
        <v>0</v>
      </c>
      <c r="O381" t="str" cm="1">
        <f t="array" ref="O381">_xlfn.IFS(AND(Table1[[#This Row],[Age]]&gt;=22,Table1[[#This Row],[Age]]&lt;=35),"22-35",AND(Table1[[#This Row],[Age]]&gt;=36,Table1[[#This Row],[Age]]&lt;=45),"36-45",AND(Table1[[#This Row],[Age]]&gt;=46,Table1[[#This Row],[Age]]&lt;=55),"46-55")</f>
        <v>46-55</v>
      </c>
      <c r="P381">
        <f>IF(Table1[[#This Row],[Employment_Status]]="active",1,0)</f>
        <v>1</v>
      </c>
      <c r="Q381">
        <v>1</v>
      </c>
      <c r="R381" s="6">
        <f ca="1">YEARFRAC(Table1[[#This Row],[Hire_Date]],IF(Table1[[#This Row],[Employment_Status]]="Exited",Table1[[#This Row],[Exit_Date]],TODAY()))</f>
        <v>5.6749999999999998</v>
      </c>
      <c r="S381" t="str" cm="1">
        <f t="array" aca="1" ref="S381" ca="1">_xlfn.IFS(AND(Table1[[#This Row],[Tenure]]&gt;=0,Table1[[#This Row],[Tenure]]&lt;=1),"0-1",AND(Table1[[#This Row],[Tenure]]&gt;1,Table1[[#This Row],[Tenure]]&lt;=3),"1-3",AND(Table1[[#This Row],[Tenure]]&gt;3,Table1[[#This Row],[Tenure]]&lt;=5),"3-5",AND(Table1[[#This Row],[Tenure]]&gt;5,Table1[[#This Row],[Tenure]]&lt;=8),"5-8")</f>
        <v>5-8</v>
      </c>
      <c r="T381" t="str" cm="1">
        <f t="array" ref="T381">_xlfn.IFS(AND(Table1[[#This Row],[Salary]]&gt;=180000, Table1[[#This Row],[Salary]] &lt;=500000),"Low (180k-500k)", AND(Table1[[#This Row],[Salary]]&gt;500000, Table1[[#This Row],[Salary]]&lt;=800000), "Medium (501k-800k)", AND(Table1[[#This Row],[Salary]]&gt;800000, Table1[[#This Row],[Salary]]&lt;1200000), "High (801k - 1.2m)")</f>
        <v>Low (180k-500k)</v>
      </c>
    </row>
    <row r="382" spans="1:20" x14ac:dyDescent="0.2">
      <c r="A382">
        <v>381</v>
      </c>
      <c r="B382" t="s">
        <v>47</v>
      </c>
      <c r="C382" t="s">
        <v>14</v>
      </c>
      <c r="D382">
        <v>55</v>
      </c>
      <c r="E382" t="s">
        <v>15</v>
      </c>
      <c r="F382" t="s">
        <v>16</v>
      </c>
      <c r="G382">
        <v>638830</v>
      </c>
      <c r="H382" t="s">
        <v>432</v>
      </c>
      <c r="J382" t="s">
        <v>18</v>
      </c>
      <c r="K382">
        <v>5</v>
      </c>
      <c r="L382">
        <v>31</v>
      </c>
      <c r="M382">
        <v>76</v>
      </c>
      <c r="N382">
        <f>IF(Table1[[#This Row],[Employment_Status]]="Exited",1,0)</f>
        <v>0</v>
      </c>
      <c r="O382" t="str" cm="1">
        <f t="array" ref="O382">_xlfn.IFS(AND(Table1[[#This Row],[Age]]&gt;=22,Table1[[#This Row],[Age]]&lt;=35),"22-35",AND(Table1[[#This Row],[Age]]&gt;=36,Table1[[#This Row],[Age]]&lt;=45),"36-45",AND(Table1[[#This Row],[Age]]&gt;=46,Table1[[#This Row],[Age]]&lt;=55),"46-55")</f>
        <v>46-55</v>
      </c>
      <c r="P382">
        <f>IF(Table1[[#This Row],[Employment_Status]]="active",1,0)</f>
        <v>1</v>
      </c>
      <c r="Q382">
        <v>1</v>
      </c>
      <c r="R382" s="6">
        <f ca="1">YEARFRAC(Table1[[#This Row],[Hire_Date]],IF(Table1[[#This Row],[Employment_Status]]="Exited",Table1[[#This Row],[Exit_Date]],TODAY()))</f>
        <v>3.2722222222222221</v>
      </c>
      <c r="S382" t="str" cm="1">
        <f t="array" aca="1" ref="S382" ca="1">_xlfn.IFS(AND(Table1[[#This Row],[Tenure]]&gt;=0,Table1[[#This Row],[Tenure]]&lt;=1),"0-1",AND(Table1[[#This Row],[Tenure]]&gt;1,Table1[[#This Row],[Tenure]]&lt;=3),"1-3",AND(Table1[[#This Row],[Tenure]]&gt;3,Table1[[#This Row],[Tenure]]&lt;=5),"3-5",AND(Table1[[#This Row],[Tenure]]&gt;5,Table1[[#This Row],[Tenure]]&lt;=8),"5-8")</f>
        <v>3-5</v>
      </c>
      <c r="T382" t="str" cm="1">
        <f t="array" ref="T382">_xlfn.IFS(AND(Table1[[#This Row],[Salary]]&gt;=180000, Table1[[#This Row],[Salary]] &lt;=500000),"Low (180k-500k)", AND(Table1[[#This Row],[Salary]]&gt;500000, Table1[[#This Row],[Salary]]&lt;=800000), "Medium (501k-800k)", AND(Table1[[#This Row],[Salary]]&gt;800000, Table1[[#This Row],[Salary]]&lt;1200000), "High (801k - 1.2m)")</f>
        <v>Medium (501k-800k)</v>
      </c>
    </row>
    <row r="383" spans="1:20" x14ac:dyDescent="0.2">
      <c r="A383">
        <v>382</v>
      </c>
      <c r="B383" t="s">
        <v>47</v>
      </c>
      <c r="C383" t="s">
        <v>20</v>
      </c>
      <c r="D383">
        <v>55</v>
      </c>
      <c r="E383" t="s">
        <v>15</v>
      </c>
      <c r="F383" t="s">
        <v>22</v>
      </c>
      <c r="G383">
        <v>433218</v>
      </c>
      <c r="H383" t="s">
        <v>433</v>
      </c>
      <c r="J383" t="s">
        <v>18</v>
      </c>
      <c r="K383">
        <v>2</v>
      </c>
      <c r="L383">
        <v>28</v>
      </c>
      <c r="M383">
        <v>83</v>
      </c>
      <c r="N383">
        <f>IF(Table1[[#This Row],[Employment_Status]]="Exited",1,0)</f>
        <v>0</v>
      </c>
      <c r="O383" t="str" cm="1">
        <f t="array" ref="O383">_xlfn.IFS(AND(Table1[[#This Row],[Age]]&gt;=22,Table1[[#This Row],[Age]]&lt;=35),"22-35",AND(Table1[[#This Row],[Age]]&gt;=36,Table1[[#This Row],[Age]]&lt;=45),"36-45",AND(Table1[[#This Row],[Age]]&gt;=46,Table1[[#This Row],[Age]]&lt;=55),"46-55")</f>
        <v>46-55</v>
      </c>
      <c r="P383">
        <f>IF(Table1[[#This Row],[Employment_Status]]="active",1,0)</f>
        <v>1</v>
      </c>
      <c r="Q383">
        <v>1</v>
      </c>
      <c r="R383" s="6">
        <f ca="1">YEARFRAC(Table1[[#This Row],[Hire_Date]],IF(Table1[[#This Row],[Employment_Status]]="Exited",Table1[[#This Row],[Exit_Date]],TODAY()))</f>
        <v>3.1444444444444444</v>
      </c>
      <c r="S383" t="str" cm="1">
        <f t="array" aca="1" ref="S383" ca="1">_xlfn.IFS(AND(Table1[[#This Row],[Tenure]]&gt;=0,Table1[[#This Row],[Tenure]]&lt;=1),"0-1",AND(Table1[[#This Row],[Tenure]]&gt;1,Table1[[#This Row],[Tenure]]&lt;=3),"1-3",AND(Table1[[#This Row],[Tenure]]&gt;3,Table1[[#This Row],[Tenure]]&lt;=5),"3-5",AND(Table1[[#This Row],[Tenure]]&gt;5,Table1[[#This Row],[Tenure]]&lt;=8),"5-8")</f>
        <v>3-5</v>
      </c>
      <c r="T383" t="str" cm="1">
        <f t="array" ref="T383">_xlfn.IFS(AND(Table1[[#This Row],[Salary]]&gt;=180000, Table1[[#This Row],[Salary]] &lt;=500000),"Low (180k-500k)", AND(Table1[[#This Row],[Salary]]&gt;500000, Table1[[#This Row],[Salary]]&lt;=800000), "Medium (501k-800k)", AND(Table1[[#This Row],[Salary]]&gt;800000, Table1[[#This Row],[Salary]]&lt;1200000), "High (801k - 1.2m)")</f>
        <v>Low (180k-500k)</v>
      </c>
    </row>
    <row r="384" spans="1:20" x14ac:dyDescent="0.2">
      <c r="A384">
        <v>383</v>
      </c>
      <c r="B384" t="s">
        <v>29</v>
      </c>
      <c r="C384" t="s">
        <v>20</v>
      </c>
      <c r="D384">
        <v>29</v>
      </c>
      <c r="E384" t="s">
        <v>15</v>
      </c>
      <c r="F384" t="s">
        <v>16</v>
      </c>
      <c r="G384">
        <v>605836</v>
      </c>
      <c r="H384" t="s">
        <v>434</v>
      </c>
      <c r="J384" t="s">
        <v>18</v>
      </c>
      <c r="K384">
        <v>3</v>
      </c>
      <c r="L384">
        <v>23</v>
      </c>
      <c r="M384">
        <v>85</v>
      </c>
      <c r="N384">
        <f>IF(Table1[[#This Row],[Employment_Status]]="Exited",1,0)</f>
        <v>0</v>
      </c>
      <c r="O384" t="str" cm="1">
        <f t="array" ref="O384">_xlfn.IFS(AND(Table1[[#This Row],[Age]]&gt;=22,Table1[[#This Row],[Age]]&lt;=35),"22-35",AND(Table1[[#This Row],[Age]]&gt;=36,Table1[[#This Row],[Age]]&lt;=45),"36-45",AND(Table1[[#This Row],[Age]]&gt;=46,Table1[[#This Row],[Age]]&lt;=55),"46-55")</f>
        <v>22-35</v>
      </c>
      <c r="P384">
        <f>IF(Table1[[#This Row],[Employment_Status]]="active",1,0)</f>
        <v>1</v>
      </c>
      <c r="Q384">
        <v>1</v>
      </c>
      <c r="R384" s="6">
        <f ca="1">YEARFRAC(Table1[[#This Row],[Hire_Date]],IF(Table1[[#This Row],[Employment_Status]]="Exited",Table1[[#This Row],[Exit_Date]],TODAY()))</f>
        <v>2.7250000000000001</v>
      </c>
      <c r="S384" t="str" cm="1">
        <f t="array" aca="1" ref="S384" ca="1">_xlfn.IFS(AND(Table1[[#This Row],[Tenure]]&gt;=0,Table1[[#This Row],[Tenure]]&lt;=1),"0-1",AND(Table1[[#This Row],[Tenure]]&gt;1,Table1[[#This Row],[Tenure]]&lt;=3),"1-3",AND(Table1[[#This Row],[Tenure]]&gt;3,Table1[[#This Row],[Tenure]]&lt;=5),"3-5",AND(Table1[[#This Row],[Tenure]]&gt;5,Table1[[#This Row],[Tenure]]&lt;=8),"5-8")</f>
        <v>1-3</v>
      </c>
      <c r="T384" t="str" cm="1">
        <f t="array" ref="T384">_xlfn.IFS(AND(Table1[[#This Row],[Salary]]&gt;=180000, Table1[[#This Row],[Salary]] &lt;=500000),"Low (180k-500k)", AND(Table1[[#This Row],[Salary]]&gt;500000, Table1[[#This Row],[Salary]]&lt;=800000), "Medium (501k-800k)", AND(Table1[[#This Row],[Salary]]&gt;800000, Table1[[#This Row],[Salary]]&lt;1200000), "High (801k - 1.2m)")</f>
        <v>Medium (501k-800k)</v>
      </c>
    </row>
    <row r="385" spans="1:20" x14ac:dyDescent="0.2">
      <c r="A385">
        <v>384</v>
      </c>
      <c r="B385" t="s">
        <v>36</v>
      </c>
      <c r="C385" t="s">
        <v>20</v>
      </c>
      <c r="D385">
        <v>40</v>
      </c>
      <c r="E385" t="s">
        <v>61</v>
      </c>
      <c r="F385" t="s">
        <v>34</v>
      </c>
      <c r="G385">
        <v>223656</v>
      </c>
      <c r="H385" t="s">
        <v>435</v>
      </c>
      <c r="J385" t="s">
        <v>18</v>
      </c>
      <c r="K385">
        <v>3</v>
      </c>
      <c r="L385">
        <v>13</v>
      </c>
      <c r="M385">
        <v>96</v>
      </c>
      <c r="N385">
        <f>IF(Table1[[#This Row],[Employment_Status]]="Exited",1,0)</f>
        <v>0</v>
      </c>
      <c r="O385" t="str" cm="1">
        <f t="array" ref="O385">_xlfn.IFS(AND(Table1[[#This Row],[Age]]&gt;=22,Table1[[#This Row],[Age]]&lt;=35),"22-35",AND(Table1[[#This Row],[Age]]&gt;=36,Table1[[#This Row],[Age]]&lt;=45),"36-45",AND(Table1[[#This Row],[Age]]&gt;=46,Table1[[#This Row],[Age]]&lt;=55),"46-55")</f>
        <v>36-45</v>
      </c>
      <c r="P385">
        <f>IF(Table1[[#This Row],[Employment_Status]]="active",1,0)</f>
        <v>1</v>
      </c>
      <c r="Q385">
        <v>1</v>
      </c>
      <c r="R385" s="6">
        <f ca="1">YEARFRAC(Table1[[#This Row],[Hire_Date]],IF(Table1[[#This Row],[Employment_Status]]="Exited",Table1[[#This Row],[Exit_Date]],TODAY()))</f>
        <v>5.0583333333333336</v>
      </c>
      <c r="S385" t="str" cm="1">
        <f t="array" aca="1" ref="S385" ca="1">_xlfn.IFS(AND(Table1[[#This Row],[Tenure]]&gt;=0,Table1[[#This Row],[Tenure]]&lt;=1),"0-1",AND(Table1[[#This Row],[Tenure]]&gt;1,Table1[[#This Row],[Tenure]]&lt;=3),"1-3",AND(Table1[[#This Row],[Tenure]]&gt;3,Table1[[#This Row],[Tenure]]&lt;=5),"3-5",AND(Table1[[#This Row],[Tenure]]&gt;5,Table1[[#This Row],[Tenure]]&lt;=8),"5-8")</f>
        <v>5-8</v>
      </c>
      <c r="T385" t="str" cm="1">
        <f t="array" ref="T385">_xlfn.IFS(AND(Table1[[#This Row],[Salary]]&gt;=180000, Table1[[#This Row],[Salary]] &lt;=500000),"Low (180k-500k)", AND(Table1[[#This Row],[Salary]]&gt;500000, Table1[[#This Row],[Salary]]&lt;=800000), "Medium (501k-800k)", AND(Table1[[#This Row],[Salary]]&gt;800000, Table1[[#This Row],[Salary]]&lt;1200000), "High (801k - 1.2m)")</f>
        <v>Low (180k-500k)</v>
      </c>
    </row>
    <row r="386" spans="1:20" x14ac:dyDescent="0.2">
      <c r="A386">
        <v>385</v>
      </c>
      <c r="B386" t="s">
        <v>29</v>
      </c>
      <c r="C386" t="s">
        <v>14</v>
      </c>
      <c r="D386">
        <v>30</v>
      </c>
      <c r="E386" t="s">
        <v>61</v>
      </c>
      <c r="F386" t="s">
        <v>34</v>
      </c>
      <c r="G386">
        <v>366640</v>
      </c>
      <c r="H386" t="s">
        <v>436</v>
      </c>
      <c r="J386" t="s">
        <v>18</v>
      </c>
      <c r="K386">
        <v>3</v>
      </c>
      <c r="L386">
        <v>27</v>
      </c>
      <c r="M386">
        <v>96</v>
      </c>
      <c r="N386">
        <f>IF(Table1[[#This Row],[Employment_Status]]="Exited",1,0)</f>
        <v>0</v>
      </c>
      <c r="O386" t="str" cm="1">
        <f t="array" ref="O386">_xlfn.IFS(AND(Table1[[#This Row],[Age]]&gt;=22,Table1[[#This Row],[Age]]&lt;=35),"22-35",AND(Table1[[#This Row],[Age]]&gt;=36,Table1[[#This Row],[Age]]&lt;=45),"36-45",AND(Table1[[#This Row],[Age]]&gt;=46,Table1[[#This Row],[Age]]&lt;=55),"46-55")</f>
        <v>22-35</v>
      </c>
      <c r="P386">
        <f>IF(Table1[[#This Row],[Employment_Status]]="active",1,0)</f>
        <v>1</v>
      </c>
      <c r="Q386">
        <v>1</v>
      </c>
      <c r="R386" s="6">
        <f ca="1">YEARFRAC(Table1[[#This Row],[Hire_Date]],IF(Table1[[#This Row],[Employment_Status]]="Exited",Table1[[#This Row],[Exit_Date]],TODAY()))</f>
        <v>5.1694444444444443</v>
      </c>
      <c r="S386" t="str" cm="1">
        <f t="array" aca="1" ref="S386" ca="1">_xlfn.IFS(AND(Table1[[#This Row],[Tenure]]&gt;=0,Table1[[#This Row],[Tenure]]&lt;=1),"0-1",AND(Table1[[#This Row],[Tenure]]&gt;1,Table1[[#This Row],[Tenure]]&lt;=3),"1-3",AND(Table1[[#This Row],[Tenure]]&gt;3,Table1[[#This Row],[Tenure]]&lt;=5),"3-5",AND(Table1[[#This Row],[Tenure]]&gt;5,Table1[[#This Row],[Tenure]]&lt;=8),"5-8")</f>
        <v>5-8</v>
      </c>
      <c r="T386" t="str" cm="1">
        <f t="array" ref="T386">_xlfn.IFS(AND(Table1[[#This Row],[Salary]]&gt;=180000, Table1[[#This Row],[Salary]] &lt;=500000),"Low (180k-500k)", AND(Table1[[#This Row],[Salary]]&gt;500000, Table1[[#This Row],[Salary]]&lt;=800000), "Medium (501k-800k)", AND(Table1[[#This Row],[Salary]]&gt;800000, Table1[[#This Row],[Salary]]&lt;1200000), "High (801k - 1.2m)")</f>
        <v>Low (180k-500k)</v>
      </c>
    </row>
    <row r="387" spans="1:20" x14ac:dyDescent="0.2">
      <c r="A387">
        <v>386</v>
      </c>
      <c r="B387" t="s">
        <v>24</v>
      </c>
      <c r="C387" t="s">
        <v>14</v>
      </c>
      <c r="D387">
        <v>36</v>
      </c>
      <c r="E387" t="s">
        <v>15</v>
      </c>
      <c r="F387" t="s">
        <v>16</v>
      </c>
      <c r="G387">
        <v>613617</v>
      </c>
      <c r="H387" t="s">
        <v>437</v>
      </c>
      <c r="I387" t="s">
        <v>438</v>
      </c>
      <c r="J387" t="s">
        <v>55</v>
      </c>
      <c r="K387">
        <v>2</v>
      </c>
      <c r="L387">
        <v>26</v>
      </c>
      <c r="M387">
        <v>80</v>
      </c>
      <c r="N387">
        <f>IF(Table1[[#This Row],[Employment_Status]]="Exited",1,0)</f>
        <v>1</v>
      </c>
      <c r="O387" t="str" cm="1">
        <f t="array" ref="O387">_xlfn.IFS(AND(Table1[[#This Row],[Age]]&gt;=22,Table1[[#This Row],[Age]]&lt;=35),"22-35",AND(Table1[[#This Row],[Age]]&gt;=36,Table1[[#This Row],[Age]]&lt;=45),"36-45",AND(Table1[[#This Row],[Age]]&gt;=46,Table1[[#This Row],[Age]]&lt;=55),"46-55")</f>
        <v>36-45</v>
      </c>
      <c r="P387">
        <f>IF(Table1[[#This Row],[Employment_Status]]="active",1,0)</f>
        <v>0</v>
      </c>
      <c r="Q387">
        <v>1</v>
      </c>
      <c r="R387" s="6">
        <f ca="1">YEARFRAC(Table1[[#This Row],[Hire_Date]],IF(Table1[[#This Row],[Employment_Status]]="Exited",Table1[[#This Row],[Exit_Date]],TODAY()))</f>
        <v>2.963888888888889</v>
      </c>
      <c r="S387" t="str" cm="1">
        <f t="array" aca="1" ref="S387" ca="1">_xlfn.IFS(AND(Table1[[#This Row],[Tenure]]&gt;=0,Table1[[#This Row],[Tenure]]&lt;=1),"0-1",AND(Table1[[#This Row],[Tenure]]&gt;1,Table1[[#This Row],[Tenure]]&lt;=3),"1-3",AND(Table1[[#This Row],[Tenure]]&gt;3,Table1[[#This Row],[Tenure]]&lt;=5),"3-5",AND(Table1[[#This Row],[Tenure]]&gt;5,Table1[[#This Row],[Tenure]]&lt;=8),"5-8")</f>
        <v>1-3</v>
      </c>
      <c r="T387" t="str" cm="1">
        <f t="array" ref="T387">_xlfn.IFS(AND(Table1[[#This Row],[Salary]]&gt;=180000, Table1[[#This Row],[Salary]] &lt;=500000),"Low (180k-500k)", AND(Table1[[#This Row],[Salary]]&gt;500000, Table1[[#This Row],[Salary]]&lt;=800000), "Medium (501k-800k)", AND(Table1[[#This Row],[Salary]]&gt;800000, Table1[[#This Row],[Salary]]&lt;1200000), "High (801k - 1.2m)")</f>
        <v>Medium (501k-800k)</v>
      </c>
    </row>
    <row r="388" spans="1:20" x14ac:dyDescent="0.2">
      <c r="A388">
        <v>387</v>
      </c>
      <c r="B388" t="s">
        <v>31</v>
      </c>
      <c r="C388" t="s">
        <v>20</v>
      </c>
      <c r="D388">
        <v>30</v>
      </c>
      <c r="E388" t="s">
        <v>21</v>
      </c>
      <c r="F388" t="s">
        <v>22</v>
      </c>
      <c r="G388">
        <v>576437</v>
      </c>
      <c r="H388" t="s">
        <v>439</v>
      </c>
      <c r="I388" t="s">
        <v>440</v>
      </c>
      <c r="J388" t="s">
        <v>55</v>
      </c>
      <c r="K388">
        <v>3</v>
      </c>
      <c r="L388">
        <v>49</v>
      </c>
      <c r="M388">
        <v>72</v>
      </c>
      <c r="N388">
        <f>IF(Table1[[#This Row],[Employment_Status]]="Exited",1,0)</f>
        <v>1</v>
      </c>
      <c r="O388" t="str" cm="1">
        <f t="array" ref="O388">_xlfn.IFS(AND(Table1[[#This Row],[Age]]&gt;=22,Table1[[#This Row],[Age]]&lt;=35),"22-35",AND(Table1[[#This Row],[Age]]&gt;=36,Table1[[#This Row],[Age]]&lt;=45),"36-45",AND(Table1[[#This Row],[Age]]&gt;=46,Table1[[#This Row],[Age]]&lt;=55),"46-55")</f>
        <v>22-35</v>
      </c>
      <c r="P388">
        <f>IF(Table1[[#This Row],[Employment_Status]]="active",1,0)</f>
        <v>0</v>
      </c>
      <c r="Q388">
        <v>1</v>
      </c>
      <c r="R388" s="6">
        <f ca="1">YEARFRAC(Table1[[#This Row],[Hire_Date]],IF(Table1[[#This Row],[Employment_Status]]="Exited",Table1[[#This Row],[Exit_Date]],TODAY()))</f>
        <v>2.8</v>
      </c>
      <c r="S388" t="str" cm="1">
        <f t="array" aca="1" ref="S388" ca="1">_xlfn.IFS(AND(Table1[[#This Row],[Tenure]]&gt;=0,Table1[[#This Row],[Tenure]]&lt;=1),"0-1",AND(Table1[[#This Row],[Tenure]]&gt;1,Table1[[#This Row],[Tenure]]&lt;=3),"1-3",AND(Table1[[#This Row],[Tenure]]&gt;3,Table1[[#This Row],[Tenure]]&lt;=5),"3-5",AND(Table1[[#This Row],[Tenure]]&gt;5,Table1[[#This Row],[Tenure]]&lt;=8),"5-8")</f>
        <v>1-3</v>
      </c>
      <c r="T388" t="str" cm="1">
        <f t="array" ref="T388">_xlfn.IFS(AND(Table1[[#This Row],[Salary]]&gt;=180000, Table1[[#This Row],[Salary]] &lt;=500000),"Low (180k-500k)", AND(Table1[[#This Row],[Salary]]&gt;500000, Table1[[#This Row],[Salary]]&lt;=800000), "Medium (501k-800k)", AND(Table1[[#This Row],[Salary]]&gt;800000, Table1[[#This Row],[Salary]]&lt;1200000), "High (801k - 1.2m)")</f>
        <v>Medium (501k-800k)</v>
      </c>
    </row>
    <row r="389" spans="1:20" x14ac:dyDescent="0.2">
      <c r="A389">
        <v>388</v>
      </c>
      <c r="B389" t="s">
        <v>75</v>
      </c>
      <c r="C389" t="s">
        <v>14</v>
      </c>
      <c r="D389">
        <v>53</v>
      </c>
      <c r="E389" t="s">
        <v>15</v>
      </c>
      <c r="F389" t="s">
        <v>16</v>
      </c>
      <c r="G389">
        <v>413992</v>
      </c>
      <c r="H389" t="s">
        <v>441</v>
      </c>
      <c r="J389" t="s">
        <v>18</v>
      </c>
      <c r="K389">
        <v>3</v>
      </c>
      <c r="L389">
        <v>49</v>
      </c>
      <c r="M389">
        <v>95</v>
      </c>
      <c r="N389">
        <f>IF(Table1[[#This Row],[Employment_Status]]="Exited",1,0)</f>
        <v>0</v>
      </c>
      <c r="O389" t="str" cm="1">
        <f t="array" ref="O389">_xlfn.IFS(AND(Table1[[#This Row],[Age]]&gt;=22,Table1[[#This Row],[Age]]&lt;=35),"22-35",AND(Table1[[#This Row],[Age]]&gt;=36,Table1[[#This Row],[Age]]&lt;=45),"36-45",AND(Table1[[#This Row],[Age]]&gt;=46,Table1[[#This Row],[Age]]&lt;=55),"46-55")</f>
        <v>46-55</v>
      </c>
      <c r="P389">
        <f>IF(Table1[[#This Row],[Employment_Status]]="active",1,0)</f>
        <v>1</v>
      </c>
      <c r="Q389">
        <v>1</v>
      </c>
      <c r="R389" s="6">
        <f ca="1">YEARFRAC(Table1[[#This Row],[Hire_Date]],IF(Table1[[#This Row],[Employment_Status]]="Exited",Table1[[#This Row],[Exit_Date]],TODAY()))</f>
        <v>7.177777777777778</v>
      </c>
      <c r="S389" t="str" cm="1">
        <f t="array" aca="1" ref="S389" ca="1">_xlfn.IFS(AND(Table1[[#This Row],[Tenure]]&gt;=0,Table1[[#This Row],[Tenure]]&lt;=1),"0-1",AND(Table1[[#This Row],[Tenure]]&gt;1,Table1[[#This Row],[Tenure]]&lt;=3),"1-3",AND(Table1[[#This Row],[Tenure]]&gt;3,Table1[[#This Row],[Tenure]]&lt;=5),"3-5",AND(Table1[[#This Row],[Tenure]]&gt;5,Table1[[#This Row],[Tenure]]&lt;=8),"5-8")</f>
        <v>5-8</v>
      </c>
      <c r="T389" t="str" cm="1">
        <f t="array" ref="T389">_xlfn.IFS(AND(Table1[[#This Row],[Salary]]&gt;=180000, Table1[[#This Row],[Salary]] &lt;=500000),"Low (180k-500k)", AND(Table1[[#This Row],[Salary]]&gt;500000, Table1[[#This Row],[Salary]]&lt;=800000), "Medium (501k-800k)", AND(Table1[[#This Row],[Salary]]&gt;800000, Table1[[#This Row],[Salary]]&lt;1200000), "High (801k - 1.2m)")</f>
        <v>Low (180k-500k)</v>
      </c>
    </row>
    <row r="390" spans="1:20" x14ac:dyDescent="0.2">
      <c r="A390">
        <v>389</v>
      </c>
      <c r="B390" t="s">
        <v>75</v>
      </c>
      <c r="C390" t="s">
        <v>20</v>
      </c>
      <c r="D390">
        <v>50</v>
      </c>
      <c r="E390" t="s">
        <v>15</v>
      </c>
      <c r="F390" t="s">
        <v>16</v>
      </c>
      <c r="G390">
        <v>626464</v>
      </c>
      <c r="H390" t="s">
        <v>442</v>
      </c>
      <c r="J390" t="s">
        <v>18</v>
      </c>
      <c r="K390">
        <v>1</v>
      </c>
      <c r="L390">
        <v>15</v>
      </c>
      <c r="M390">
        <v>92</v>
      </c>
      <c r="N390">
        <f>IF(Table1[[#This Row],[Employment_Status]]="Exited",1,0)</f>
        <v>0</v>
      </c>
      <c r="O390" t="str" cm="1">
        <f t="array" ref="O390">_xlfn.IFS(AND(Table1[[#This Row],[Age]]&gt;=22,Table1[[#This Row],[Age]]&lt;=35),"22-35",AND(Table1[[#This Row],[Age]]&gt;=36,Table1[[#This Row],[Age]]&lt;=45),"36-45",AND(Table1[[#This Row],[Age]]&gt;=46,Table1[[#This Row],[Age]]&lt;=55),"46-55")</f>
        <v>46-55</v>
      </c>
      <c r="P390">
        <f>IF(Table1[[#This Row],[Employment_Status]]="active",1,0)</f>
        <v>1</v>
      </c>
      <c r="Q390">
        <v>1</v>
      </c>
      <c r="R390" s="6">
        <f ca="1">YEARFRAC(Table1[[#This Row],[Hire_Date]],IF(Table1[[#This Row],[Employment_Status]]="Exited",Table1[[#This Row],[Exit_Date]],TODAY()))</f>
        <v>7.4333333333333336</v>
      </c>
      <c r="S390" t="str" cm="1">
        <f t="array" aca="1" ref="S390" ca="1">_xlfn.IFS(AND(Table1[[#This Row],[Tenure]]&gt;=0,Table1[[#This Row],[Tenure]]&lt;=1),"0-1",AND(Table1[[#This Row],[Tenure]]&gt;1,Table1[[#This Row],[Tenure]]&lt;=3),"1-3",AND(Table1[[#This Row],[Tenure]]&gt;3,Table1[[#This Row],[Tenure]]&lt;=5),"3-5",AND(Table1[[#This Row],[Tenure]]&gt;5,Table1[[#This Row],[Tenure]]&lt;=8),"5-8")</f>
        <v>5-8</v>
      </c>
      <c r="T390" t="str" cm="1">
        <f t="array" ref="T390">_xlfn.IFS(AND(Table1[[#This Row],[Salary]]&gt;=180000, Table1[[#This Row],[Salary]] &lt;=500000),"Low (180k-500k)", AND(Table1[[#This Row],[Salary]]&gt;500000, Table1[[#This Row],[Salary]]&lt;=800000), "Medium (501k-800k)", AND(Table1[[#This Row],[Salary]]&gt;800000, Table1[[#This Row],[Salary]]&lt;1200000), "High (801k - 1.2m)")</f>
        <v>Medium (501k-800k)</v>
      </c>
    </row>
    <row r="391" spans="1:20" x14ac:dyDescent="0.2">
      <c r="A391">
        <v>390</v>
      </c>
      <c r="B391" t="s">
        <v>58</v>
      </c>
      <c r="C391" t="s">
        <v>14</v>
      </c>
      <c r="D391">
        <v>45</v>
      </c>
      <c r="E391" t="s">
        <v>21</v>
      </c>
      <c r="F391" t="s">
        <v>16</v>
      </c>
      <c r="G391">
        <v>685877</v>
      </c>
      <c r="H391" t="s">
        <v>443</v>
      </c>
      <c r="J391" t="s">
        <v>18</v>
      </c>
      <c r="K391">
        <v>3</v>
      </c>
      <c r="L391">
        <v>29</v>
      </c>
      <c r="M391">
        <v>91</v>
      </c>
      <c r="N391">
        <f>IF(Table1[[#This Row],[Employment_Status]]="Exited",1,0)</f>
        <v>0</v>
      </c>
      <c r="O391" t="str" cm="1">
        <f t="array" ref="O391">_xlfn.IFS(AND(Table1[[#This Row],[Age]]&gt;=22,Table1[[#This Row],[Age]]&lt;=35),"22-35",AND(Table1[[#This Row],[Age]]&gt;=36,Table1[[#This Row],[Age]]&lt;=45),"36-45",AND(Table1[[#This Row],[Age]]&gt;=46,Table1[[#This Row],[Age]]&lt;=55),"46-55")</f>
        <v>36-45</v>
      </c>
      <c r="P391">
        <f>IF(Table1[[#This Row],[Employment_Status]]="active",1,0)</f>
        <v>1</v>
      </c>
      <c r="Q391">
        <v>1</v>
      </c>
      <c r="R391" s="6">
        <f ca="1">YEARFRAC(Table1[[#This Row],[Hire_Date]],IF(Table1[[#This Row],[Employment_Status]]="Exited",Table1[[#This Row],[Exit_Date]],TODAY()))</f>
        <v>5.3472222222222223</v>
      </c>
      <c r="S391" t="str" cm="1">
        <f t="array" aca="1" ref="S391" ca="1">_xlfn.IFS(AND(Table1[[#This Row],[Tenure]]&gt;=0,Table1[[#This Row],[Tenure]]&lt;=1),"0-1",AND(Table1[[#This Row],[Tenure]]&gt;1,Table1[[#This Row],[Tenure]]&lt;=3),"1-3",AND(Table1[[#This Row],[Tenure]]&gt;3,Table1[[#This Row],[Tenure]]&lt;=5),"3-5",AND(Table1[[#This Row],[Tenure]]&gt;5,Table1[[#This Row],[Tenure]]&lt;=8),"5-8")</f>
        <v>5-8</v>
      </c>
      <c r="T391" t="str" cm="1">
        <f t="array" ref="T391">_xlfn.IFS(AND(Table1[[#This Row],[Salary]]&gt;=180000, Table1[[#This Row],[Salary]] &lt;=500000),"Low (180k-500k)", AND(Table1[[#This Row],[Salary]]&gt;500000, Table1[[#This Row],[Salary]]&lt;=800000), "Medium (501k-800k)", AND(Table1[[#This Row],[Salary]]&gt;800000, Table1[[#This Row],[Salary]]&lt;1200000), "High (801k - 1.2m)")</f>
        <v>Medium (501k-800k)</v>
      </c>
    </row>
    <row r="392" spans="1:20" x14ac:dyDescent="0.2">
      <c r="A392">
        <v>391</v>
      </c>
      <c r="B392" t="s">
        <v>26</v>
      </c>
      <c r="C392" t="s">
        <v>14</v>
      </c>
      <c r="D392">
        <v>40</v>
      </c>
      <c r="E392" t="s">
        <v>45</v>
      </c>
      <c r="F392" t="s">
        <v>16</v>
      </c>
      <c r="G392">
        <v>492373</v>
      </c>
      <c r="H392" t="s">
        <v>444</v>
      </c>
      <c r="J392" t="s">
        <v>18</v>
      </c>
      <c r="K392">
        <v>5</v>
      </c>
      <c r="L392">
        <v>49</v>
      </c>
      <c r="M392">
        <v>95</v>
      </c>
      <c r="N392">
        <f>IF(Table1[[#This Row],[Employment_Status]]="Exited",1,0)</f>
        <v>0</v>
      </c>
      <c r="O392" t="str" cm="1">
        <f t="array" ref="O392">_xlfn.IFS(AND(Table1[[#This Row],[Age]]&gt;=22,Table1[[#This Row],[Age]]&lt;=35),"22-35",AND(Table1[[#This Row],[Age]]&gt;=36,Table1[[#This Row],[Age]]&lt;=45),"36-45",AND(Table1[[#This Row],[Age]]&gt;=46,Table1[[#This Row],[Age]]&lt;=55),"46-55")</f>
        <v>36-45</v>
      </c>
      <c r="P392">
        <f>IF(Table1[[#This Row],[Employment_Status]]="active",1,0)</f>
        <v>1</v>
      </c>
      <c r="Q392">
        <v>1</v>
      </c>
      <c r="R392" s="6">
        <f ca="1">YEARFRAC(Table1[[#This Row],[Hire_Date]],IF(Table1[[#This Row],[Employment_Status]]="Exited",Table1[[#This Row],[Exit_Date]],TODAY()))</f>
        <v>7.2666666666666666</v>
      </c>
      <c r="S392" t="str" cm="1">
        <f t="array" aca="1" ref="S392" ca="1">_xlfn.IFS(AND(Table1[[#This Row],[Tenure]]&gt;=0,Table1[[#This Row],[Tenure]]&lt;=1),"0-1",AND(Table1[[#This Row],[Tenure]]&gt;1,Table1[[#This Row],[Tenure]]&lt;=3),"1-3",AND(Table1[[#This Row],[Tenure]]&gt;3,Table1[[#This Row],[Tenure]]&lt;=5),"3-5",AND(Table1[[#This Row],[Tenure]]&gt;5,Table1[[#This Row],[Tenure]]&lt;=8),"5-8")</f>
        <v>5-8</v>
      </c>
      <c r="T392" t="str" cm="1">
        <f t="array" ref="T392">_xlfn.IFS(AND(Table1[[#This Row],[Salary]]&gt;=180000, Table1[[#This Row],[Salary]] &lt;=500000),"Low (180k-500k)", AND(Table1[[#This Row],[Salary]]&gt;500000, Table1[[#This Row],[Salary]]&lt;=800000), "Medium (501k-800k)", AND(Table1[[#This Row],[Salary]]&gt;800000, Table1[[#This Row],[Salary]]&lt;1200000), "High (801k - 1.2m)")</f>
        <v>Low (180k-500k)</v>
      </c>
    </row>
    <row r="393" spans="1:20" x14ac:dyDescent="0.2">
      <c r="A393">
        <v>392</v>
      </c>
      <c r="B393" t="s">
        <v>31</v>
      </c>
      <c r="C393" t="s">
        <v>20</v>
      </c>
      <c r="D393">
        <v>23</v>
      </c>
      <c r="E393" t="s">
        <v>45</v>
      </c>
      <c r="F393" t="s">
        <v>16</v>
      </c>
      <c r="G393">
        <v>565339</v>
      </c>
      <c r="H393" t="s">
        <v>445</v>
      </c>
      <c r="J393" t="s">
        <v>18</v>
      </c>
      <c r="K393">
        <v>5</v>
      </c>
      <c r="L393">
        <v>37</v>
      </c>
      <c r="M393">
        <v>68</v>
      </c>
      <c r="N393">
        <f>IF(Table1[[#This Row],[Employment_Status]]="Exited",1,0)</f>
        <v>0</v>
      </c>
      <c r="O393" t="str" cm="1">
        <f t="array" ref="O393">_xlfn.IFS(AND(Table1[[#This Row],[Age]]&gt;=22,Table1[[#This Row],[Age]]&lt;=35),"22-35",AND(Table1[[#This Row],[Age]]&gt;=36,Table1[[#This Row],[Age]]&lt;=45),"36-45",AND(Table1[[#This Row],[Age]]&gt;=46,Table1[[#This Row],[Age]]&lt;=55),"46-55")</f>
        <v>22-35</v>
      </c>
      <c r="P393">
        <f>IF(Table1[[#This Row],[Employment_Status]]="active",1,0)</f>
        <v>1</v>
      </c>
      <c r="Q393">
        <v>1</v>
      </c>
      <c r="R393" s="6">
        <f ca="1">YEARFRAC(Table1[[#This Row],[Hire_Date]],IF(Table1[[#This Row],[Employment_Status]]="Exited",Table1[[#This Row],[Exit_Date]],TODAY()))</f>
        <v>6.9249999999999998</v>
      </c>
      <c r="S393" t="str" cm="1">
        <f t="array" aca="1" ref="S393" ca="1">_xlfn.IFS(AND(Table1[[#This Row],[Tenure]]&gt;=0,Table1[[#This Row],[Tenure]]&lt;=1),"0-1",AND(Table1[[#This Row],[Tenure]]&gt;1,Table1[[#This Row],[Tenure]]&lt;=3),"1-3",AND(Table1[[#This Row],[Tenure]]&gt;3,Table1[[#This Row],[Tenure]]&lt;=5),"3-5",AND(Table1[[#This Row],[Tenure]]&gt;5,Table1[[#This Row],[Tenure]]&lt;=8),"5-8")</f>
        <v>5-8</v>
      </c>
      <c r="T393" t="str" cm="1">
        <f t="array" ref="T393">_xlfn.IFS(AND(Table1[[#This Row],[Salary]]&gt;=180000, Table1[[#This Row],[Salary]] &lt;=500000),"Low (180k-500k)", AND(Table1[[#This Row],[Salary]]&gt;500000, Table1[[#This Row],[Salary]]&lt;=800000), "Medium (501k-800k)", AND(Table1[[#This Row],[Salary]]&gt;800000, Table1[[#This Row],[Salary]]&lt;1200000), "High (801k - 1.2m)")</f>
        <v>Medium (501k-800k)</v>
      </c>
    </row>
    <row r="394" spans="1:20" x14ac:dyDescent="0.2">
      <c r="A394">
        <v>393</v>
      </c>
      <c r="B394" t="s">
        <v>58</v>
      </c>
      <c r="C394" t="s">
        <v>20</v>
      </c>
      <c r="D394">
        <v>28</v>
      </c>
      <c r="E394" t="s">
        <v>45</v>
      </c>
      <c r="F394" t="s">
        <v>27</v>
      </c>
      <c r="G394">
        <v>210761</v>
      </c>
      <c r="H394" t="s">
        <v>446</v>
      </c>
      <c r="J394" t="s">
        <v>18</v>
      </c>
      <c r="K394">
        <v>2</v>
      </c>
      <c r="L394">
        <v>3</v>
      </c>
      <c r="M394">
        <v>77</v>
      </c>
      <c r="N394">
        <f>IF(Table1[[#This Row],[Employment_Status]]="Exited",1,0)</f>
        <v>0</v>
      </c>
      <c r="O394" t="str" cm="1">
        <f t="array" ref="O394">_xlfn.IFS(AND(Table1[[#This Row],[Age]]&gt;=22,Table1[[#This Row],[Age]]&lt;=35),"22-35",AND(Table1[[#This Row],[Age]]&gt;=36,Table1[[#This Row],[Age]]&lt;=45),"36-45",AND(Table1[[#This Row],[Age]]&gt;=46,Table1[[#This Row],[Age]]&lt;=55),"46-55")</f>
        <v>22-35</v>
      </c>
      <c r="P394">
        <f>IF(Table1[[#This Row],[Employment_Status]]="active",1,0)</f>
        <v>1</v>
      </c>
      <c r="Q394">
        <v>1</v>
      </c>
      <c r="R394" s="6">
        <f ca="1">YEARFRAC(Table1[[#This Row],[Hire_Date]],IF(Table1[[#This Row],[Employment_Status]]="Exited",Table1[[#This Row],[Exit_Date]],TODAY()))</f>
        <v>3.4666666666666668</v>
      </c>
      <c r="S394" t="str" cm="1">
        <f t="array" aca="1" ref="S394" ca="1">_xlfn.IFS(AND(Table1[[#This Row],[Tenure]]&gt;=0,Table1[[#This Row],[Tenure]]&lt;=1),"0-1",AND(Table1[[#This Row],[Tenure]]&gt;1,Table1[[#This Row],[Tenure]]&lt;=3),"1-3",AND(Table1[[#This Row],[Tenure]]&gt;3,Table1[[#This Row],[Tenure]]&lt;=5),"3-5",AND(Table1[[#This Row],[Tenure]]&gt;5,Table1[[#This Row],[Tenure]]&lt;=8),"5-8")</f>
        <v>3-5</v>
      </c>
      <c r="T394" t="str" cm="1">
        <f t="array" ref="T394">_xlfn.IFS(AND(Table1[[#This Row],[Salary]]&gt;=180000, Table1[[#This Row],[Salary]] &lt;=500000),"Low (180k-500k)", AND(Table1[[#This Row],[Salary]]&gt;500000, Table1[[#This Row],[Salary]]&lt;=800000), "Medium (501k-800k)", AND(Table1[[#This Row],[Salary]]&gt;800000, Table1[[#This Row],[Salary]]&lt;1200000), "High (801k - 1.2m)")</f>
        <v>Low (180k-500k)</v>
      </c>
    </row>
    <row r="395" spans="1:20" x14ac:dyDescent="0.2">
      <c r="A395">
        <v>394</v>
      </c>
      <c r="B395" t="s">
        <v>75</v>
      </c>
      <c r="C395" t="s">
        <v>20</v>
      </c>
      <c r="D395">
        <v>54</v>
      </c>
      <c r="E395" t="s">
        <v>49</v>
      </c>
      <c r="F395" t="s">
        <v>22</v>
      </c>
      <c r="G395">
        <v>212424</v>
      </c>
      <c r="H395" t="s">
        <v>447</v>
      </c>
      <c r="I395" t="s">
        <v>448</v>
      </c>
      <c r="J395" t="s">
        <v>55</v>
      </c>
      <c r="K395">
        <v>2</v>
      </c>
      <c r="L395">
        <v>8</v>
      </c>
      <c r="M395">
        <v>86</v>
      </c>
      <c r="N395">
        <f>IF(Table1[[#This Row],[Employment_Status]]="Exited",1,0)</f>
        <v>1</v>
      </c>
      <c r="O395" t="str" cm="1">
        <f t="array" ref="O395">_xlfn.IFS(AND(Table1[[#This Row],[Age]]&gt;=22,Table1[[#This Row],[Age]]&lt;=35),"22-35",AND(Table1[[#This Row],[Age]]&gt;=36,Table1[[#This Row],[Age]]&lt;=45),"36-45",AND(Table1[[#This Row],[Age]]&gt;=46,Table1[[#This Row],[Age]]&lt;=55),"46-55")</f>
        <v>46-55</v>
      </c>
      <c r="P395">
        <f>IF(Table1[[#This Row],[Employment_Status]]="active",1,0)</f>
        <v>0</v>
      </c>
      <c r="Q395">
        <v>1</v>
      </c>
      <c r="R395" s="6">
        <f ca="1">YEARFRAC(Table1[[#This Row],[Hire_Date]],IF(Table1[[#This Row],[Employment_Status]]="Exited",Table1[[#This Row],[Exit_Date]],TODAY()))</f>
        <v>2.9333333333333331</v>
      </c>
      <c r="S395" t="str" cm="1">
        <f t="array" aca="1" ref="S395" ca="1">_xlfn.IFS(AND(Table1[[#This Row],[Tenure]]&gt;=0,Table1[[#This Row],[Tenure]]&lt;=1),"0-1",AND(Table1[[#This Row],[Tenure]]&gt;1,Table1[[#This Row],[Tenure]]&lt;=3),"1-3",AND(Table1[[#This Row],[Tenure]]&gt;3,Table1[[#This Row],[Tenure]]&lt;=5),"3-5",AND(Table1[[#This Row],[Tenure]]&gt;5,Table1[[#This Row],[Tenure]]&lt;=8),"5-8")</f>
        <v>1-3</v>
      </c>
      <c r="T395" t="str" cm="1">
        <f t="array" ref="T395">_xlfn.IFS(AND(Table1[[#This Row],[Salary]]&gt;=180000, Table1[[#This Row],[Salary]] &lt;=500000),"Low (180k-500k)", AND(Table1[[#This Row],[Salary]]&gt;500000, Table1[[#This Row],[Salary]]&lt;=800000), "Medium (501k-800k)", AND(Table1[[#This Row],[Salary]]&gt;800000, Table1[[#This Row],[Salary]]&lt;1200000), "High (801k - 1.2m)")</f>
        <v>Low (180k-500k)</v>
      </c>
    </row>
    <row r="396" spans="1:20" x14ac:dyDescent="0.2">
      <c r="A396">
        <v>395</v>
      </c>
      <c r="B396" t="s">
        <v>75</v>
      </c>
      <c r="C396" t="s">
        <v>20</v>
      </c>
      <c r="D396">
        <v>27</v>
      </c>
      <c r="E396" t="s">
        <v>15</v>
      </c>
      <c r="F396" t="s">
        <v>34</v>
      </c>
      <c r="G396">
        <v>813090</v>
      </c>
      <c r="H396" t="s">
        <v>449</v>
      </c>
      <c r="J396" t="s">
        <v>18</v>
      </c>
      <c r="K396">
        <v>5</v>
      </c>
      <c r="L396">
        <v>50</v>
      </c>
      <c r="M396">
        <v>98</v>
      </c>
      <c r="N396">
        <f>IF(Table1[[#This Row],[Employment_Status]]="Exited",1,0)</f>
        <v>0</v>
      </c>
      <c r="O396" t="str" cm="1">
        <f t="array" ref="O396">_xlfn.IFS(AND(Table1[[#This Row],[Age]]&gt;=22,Table1[[#This Row],[Age]]&lt;=35),"22-35",AND(Table1[[#This Row],[Age]]&gt;=36,Table1[[#This Row],[Age]]&lt;=45),"36-45",AND(Table1[[#This Row],[Age]]&gt;=46,Table1[[#This Row],[Age]]&lt;=55),"46-55")</f>
        <v>22-35</v>
      </c>
      <c r="P396">
        <f>IF(Table1[[#This Row],[Employment_Status]]="active",1,0)</f>
        <v>1</v>
      </c>
      <c r="Q396">
        <v>1</v>
      </c>
      <c r="R396" s="6">
        <f ca="1">YEARFRAC(Table1[[#This Row],[Hire_Date]],IF(Table1[[#This Row],[Employment_Status]]="Exited",Table1[[#This Row],[Exit_Date]],TODAY()))</f>
        <v>6.125</v>
      </c>
      <c r="S396" t="str" cm="1">
        <f t="array" aca="1" ref="S396" ca="1">_xlfn.IFS(AND(Table1[[#This Row],[Tenure]]&gt;=0,Table1[[#This Row],[Tenure]]&lt;=1),"0-1",AND(Table1[[#This Row],[Tenure]]&gt;1,Table1[[#This Row],[Tenure]]&lt;=3),"1-3",AND(Table1[[#This Row],[Tenure]]&gt;3,Table1[[#This Row],[Tenure]]&lt;=5),"3-5",AND(Table1[[#This Row],[Tenure]]&gt;5,Table1[[#This Row],[Tenure]]&lt;=8),"5-8")</f>
        <v>5-8</v>
      </c>
      <c r="T396" t="str" cm="1">
        <f t="array" ref="T396">_xlfn.IFS(AND(Table1[[#This Row],[Salary]]&gt;=180000, Table1[[#This Row],[Salary]] &lt;=500000),"Low (180k-500k)", AND(Table1[[#This Row],[Salary]]&gt;500000, Table1[[#This Row],[Salary]]&lt;=800000), "Medium (501k-800k)", AND(Table1[[#This Row],[Salary]]&gt;800000, Table1[[#This Row],[Salary]]&lt;1200000), "High (801k - 1.2m)")</f>
        <v>High (801k - 1.2m)</v>
      </c>
    </row>
    <row r="397" spans="1:20" x14ac:dyDescent="0.2">
      <c r="A397">
        <v>396</v>
      </c>
      <c r="B397" t="s">
        <v>24</v>
      </c>
      <c r="C397" t="s">
        <v>14</v>
      </c>
      <c r="D397">
        <v>31</v>
      </c>
      <c r="E397" t="s">
        <v>15</v>
      </c>
      <c r="F397" t="s">
        <v>22</v>
      </c>
      <c r="G397">
        <v>1051340</v>
      </c>
      <c r="H397" t="s">
        <v>450</v>
      </c>
      <c r="J397" t="s">
        <v>18</v>
      </c>
      <c r="K397">
        <v>3</v>
      </c>
      <c r="L397">
        <v>1</v>
      </c>
      <c r="M397">
        <v>85</v>
      </c>
      <c r="N397">
        <f>IF(Table1[[#This Row],[Employment_Status]]="Exited",1,0)</f>
        <v>0</v>
      </c>
      <c r="O397" t="str" cm="1">
        <f t="array" ref="O397">_xlfn.IFS(AND(Table1[[#This Row],[Age]]&gt;=22,Table1[[#This Row],[Age]]&lt;=35),"22-35",AND(Table1[[#This Row],[Age]]&gt;=36,Table1[[#This Row],[Age]]&lt;=45),"36-45",AND(Table1[[#This Row],[Age]]&gt;=46,Table1[[#This Row],[Age]]&lt;=55),"46-55")</f>
        <v>22-35</v>
      </c>
      <c r="P397">
        <f>IF(Table1[[#This Row],[Employment_Status]]="active",1,0)</f>
        <v>1</v>
      </c>
      <c r="Q397">
        <v>1</v>
      </c>
      <c r="R397" s="6">
        <f ca="1">YEARFRAC(Table1[[#This Row],[Hire_Date]],IF(Table1[[#This Row],[Employment_Status]]="Exited",Table1[[#This Row],[Exit_Date]],TODAY()))</f>
        <v>6.3944444444444448</v>
      </c>
      <c r="S397" t="str" cm="1">
        <f t="array" aca="1" ref="S397" ca="1">_xlfn.IFS(AND(Table1[[#This Row],[Tenure]]&gt;=0,Table1[[#This Row],[Tenure]]&lt;=1),"0-1",AND(Table1[[#This Row],[Tenure]]&gt;1,Table1[[#This Row],[Tenure]]&lt;=3),"1-3",AND(Table1[[#This Row],[Tenure]]&gt;3,Table1[[#This Row],[Tenure]]&lt;=5),"3-5",AND(Table1[[#This Row],[Tenure]]&gt;5,Table1[[#This Row],[Tenure]]&lt;=8),"5-8")</f>
        <v>5-8</v>
      </c>
      <c r="T397" t="str" cm="1">
        <f t="array" ref="T397">_xlfn.IFS(AND(Table1[[#This Row],[Salary]]&gt;=180000, Table1[[#This Row],[Salary]] &lt;=500000),"Low (180k-500k)", AND(Table1[[#This Row],[Salary]]&gt;500000, Table1[[#This Row],[Salary]]&lt;=800000), "Medium (501k-800k)", AND(Table1[[#This Row],[Salary]]&gt;800000, Table1[[#This Row],[Salary]]&lt;1200000), "High (801k - 1.2m)")</f>
        <v>High (801k - 1.2m)</v>
      </c>
    </row>
    <row r="398" spans="1:20" x14ac:dyDescent="0.2">
      <c r="A398">
        <v>397</v>
      </c>
      <c r="B398" t="s">
        <v>47</v>
      </c>
      <c r="C398" t="s">
        <v>14</v>
      </c>
      <c r="D398">
        <v>43</v>
      </c>
      <c r="E398" t="s">
        <v>21</v>
      </c>
      <c r="F398" t="s">
        <v>16</v>
      </c>
      <c r="G398">
        <v>321594</v>
      </c>
      <c r="H398" t="s">
        <v>451</v>
      </c>
      <c r="I398" t="s">
        <v>452</v>
      </c>
      <c r="J398" t="s">
        <v>55</v>
      </c>
      <c r="K398">
        <v>4</v>
      </c>
      <c r="L398">
        <v>21</v>
      </c>
      <c r="M398">
        <v>91</v>
      </c>
      <c r="N398">
        <f>IF(Table1[[#This Row],[Employment_Status]]="Exited",1,0)</f>
        <v>1</v>
      </c>
      <c r="O398" t="str" cm="1">
        <f t="array" ref="O398">_xlfn.IFS(AND(Table1[[#This Row],[Age]]&gt;=22,Table1[[#This Row],[Age]]&lt;=35),"22-35",AND(Table1[[#This Row],[Age]]&gt;=36,Table1[[#This Row],[Age]]&lt;=45),"36-45",AND(Table1[[#This Row],[Age]]&gt;=46,Table1[[#This Row],[Age]]&lt;=55),"46-55")</f>
        <v>36-45</v>
      </c>
      <c r="P398">
        <f>IF(Table1[[#This Row],[Employment_Status]]="active",1,0)</f>
        <v>0</v>
      </c>
      <c r="Q398">
        <v>1</v>
      </c>
      <c r="R398" s="6">
        <f ca="1">YEARFRAC(Table1[[#This Row],[Hire_Date]],IF(Table1[[#This Row],[Employment_Status]]="Exited",Table1[[#This Row],[Exit_Date]],TODAY()))</f>
        <v>2.7666666666666666</v>
      </c>
      <c r="S398" t="str" cm="1">
        <f t="array" aca="1" ref="S398" ca="1">_xlfn.IFS(AND(Table1[[#This Row],[Tenure]]&gt;=0,Table1[[#This Row],[Tenure]]&lt;=1),"0-1",AND(Table1[[#This Row],[Tenure]]&gt;1,Table1[[#This Row],[Tenure]]&lt;=3),"1-3",AND(Table1[[#This Row],[Tenure]]&gt;3,Table1[[#This Row],[Tenure]]&lt;=5),"3-5",AND(Table1[[#This Row],[Tenure]]&gt;5,Table1[[#This Row],[Tenure]]&lt;=8),"5-8")</f>
        <v>1-3</v>
      </c>
      <c r="T398" t="str" cm="1">
        <f t="array" ref="T398">_xlfn.IFS(AND(Table1[[#This Row],[Salary]]&gt;=180000, Table1[[#This Row],[Salary]] &lt;=500000),"Low (180k-500k)", AND(Table1[[#This Row],[Salary]]&gt;500000, Table1[[#This Row],[Salary]]&lt;=800000), "Medium (501k-800k)", AND(Table1[[#This Row],[Salary]]&gt;800000, Table1[[#This Row],[Salary]]&lt;1200000), "High (801k - 1.2m)")</f>
        <v>Low (180k-500k)</v>
      </c>
    </row>
    <row r="399" spans="1:20" x14ac:dyDescent="0.2">
      <c r="A399">
        <v>398</v>
      </c>
      <c r="B399" t="s">
        <v>33</v>
      </c>
      <c r="C399" t="s">
        <v>14</v>
      </c>
      <c r="D399">
        <v>36</v>
      </c>
      <c r="E399" t="s">
        <v>61</v>
      </c>
      <c r="F399" t="s">
        <v>34</v>
      </c>
      <c r="G399">
        <v>281129</v>
      </c>
      <c r="H399" t="s">
        <v>453</v>
      </c>
      <c r="J399" t="s">
        <v>18</v>
      </c>
      <c r="K399">
        <v>3</v>
      </c>
      <c r="L399">
        <v>39</v>
      </c>
      <c r="M399">
        <v>65</v>
      </c>
      <c r="N399">
        <f>IF(Table1[[#This Row],[Employment_Status]]="Exited",1,0)</f>
        <v>0</v>
      </c>
      <c r="O399" t="str" cm="1">
        <f t="array" ref="O399">_xlfn.IFS(AND(Table1[[#This Row],[Age]]&gt;=22,Table1[[#This Row],[Age]]&lt;=35),"22-35",AND(Table1[[#This Row],[Age]]&gt;=36,Table1[[#This Row],[Age]]&lt;=45),"36-45",AND(Table1[[#This Row],[Age]]&gt;=46,Table1[[#This Row],[Age]]&lt;=55),"46-55")</f>
        <v>36-45</v>
      </c>
      <c r="P399">
        <f>IF(Table1[[#This Row],[Employment_Status]]="active",1,0)</f>
        <v>1</v>
      </c>
      <c r="Q399">
        <v>1</v>
      </c>
      <c r="R399" s="6">
        <f ca="1">YEARFRAC(Table1[[#This Row],[Hire_Date]],IF(Table1[[#This Row],[Employment_Status]]="Exited",Table1[[#This Row],[Exit_Date]],TODAY()))</f>
        <v>3.3027777777777776</v>
      </c>
      <c r="S399" t="str" cm="1">
        <f t="array" aca="1" ref="S399" ca="1">_xlfn.IFS(AND(Table1[[#This Row],[Tenure]]&gt;=0,Table1[[#This Row],[Tenure]]&lt;=1),"0-1",AND(Table1[[#This Row],[Tenure]]&gt;1,Table1[[#This Row],[Tenure]]&lt;=3),"1-3",AND(Table1[[#This Row],[Tenure]]&gt;3,Table1[[#This Row],[Tenure]]&lt;=5),"3-5",AND(Table1[[#This Row],[Tenure]]&gt;5,Table1[[#This Row],[Tenure]]&lt;=8),"5-8")</f>
        <v>3-5</v>
      </c>
      <c r="T399" t="str" cm="1">
        <f t="array" ref="T399">_xlfn.IFS(AND(Table1[[#This Row],[Salary]]&gt;=180000, Table1[[#This Row],[Salary]] &lt;=500000),"Low (180k-500k)", AND(Table1[[#This Row],[Salary]]&gt;500000, Table1[[#This Row],[Salary]]&lt;=800000), "Medium (501k-800k)", AND(Table1[[#This Row],[Salary]]&gt;800000, Table1[[#This Row],[Salary]]&lt;1200000), "High (801k - 1.2m)")</f>
        <v>Low (180k-500k)</v>
      </c>
    </row>
    <row r="400" spans="1:20" x14ac:dyDescent="0.2">
      <c r="A400">
        <v>399</v>
      </c>
      <c r="B400" t="s">
        <v>36</v>
      </c>
      <c r="C400" t="s">
        <v>20</v>
      </c>
      <c r="D400">
        <v>34</v>
      </c>
      <c r="E400" t="s">
        <v>49</v>
      </c>
      <c r="F400" t="s">
        <v>16</v>
      </c>
      <c r="G400">
        <v>248930</v>
      </c>
      <c r="H400" t="s">
        <v>394</v>
      </c>
      <c r="I400" t="s">
        <v>454</v>
      </c>
      <c r="J400" t="s">
        <v>55</v>
      </c>
      <c r="K400">
        <v>4</v>
      </c>
      <c r="L400">
        <v>35</v>
      </c>
      <c r="M400">
        <v>67</v>
      </c>
      <c r="N400">
        <f>IF(Table1[[#This Row],[Employment_Status]]="Exited",1,0)</f>
        <v>1</v>
      </c>
      <c r="O400" t="str" cm="1">
        <f t="array" ref="O400">_xlfn.IFS(AND(Table1[[#This Row],[Age]]&gt;=22,Table1[[#This Row],[Age]]&lt;=35),"22-35",AND(Table1[[#This Row],[Age]]&gt;=36,Table1[[#This Row],[Age]]&lt;=45),"36-45",AND(Table1[[#This Row],[Age]]&gt;=46,Table1[[#This Row],[Age]]&lt;=55),"46-55")</f>
        <v>22-35</v>
      </c>
      <c r="P400">
        <f>IF(Table1[[#This Row],[Employment_Status]]="active",1,0)</f>
        <v>0</v>
      </c>
      <c r="Q400">
        <v>1</v>
      </c>
      <c r="R400" s="6">
        <f ca="1">YEARFRAC(Table1[[#This Row],[Hire_Date]],IF(Table1[[#This Row],[Employment_Status]]="Exited",Table1[[#This Row],[Exit_Date]],TODAY()))</f>
        <v>1.8694444444444445</v>
      </c>
      <c r="S400" t="str" cm="1">
        <f t="array" aca="1" ref="S400" ca="1">_xlfn.IFS(AND(Table1[[#This Row],[Tenure]]&gt;=0,Table1[[#This Row],[Tenure]]&lt;=1),"0-1",AND(Table1[[#This Row],[Tenure]]&gt;1,Table1[[#This Row],[Tenure]]&lt;=3),"1-3",AND(Table1[[#This Row],[Tenure]]&gt;3,Table1[[#This Row],[Tenure]]&lt;=5),"3-5",AND(Table1[[#This Row],[Tenure]]&gt;5,Table1[[#This Row],[Tenure]]&lt;=8),"5-8")</f>
        <v>1-3</v>
      </c>
      <c r="T400" t="str" cm="1">
        <f t="array" ref="T400">_xlfn.IFS(AND(Table1[[#This Row],[Salary]]&gt;=180000, Table1[[#This Row],[Salary]] &lt;=500000),"Low (180k-500k)", AND(Table1[[#This Row],[Salary]]&gt;500000, Table1[[#This Row],[Salary]]&lt;=800000), "Medium (501k-800k)", AND(Table1[[#This Row],[Salary]]&gt;800000, Table1[[#This Row],[Salary]]&lt;1200000), "High (801k - 1.2m)")</f>
        <v>Low (180k-500k)</v>
      </c>
    </row>
    <row r="401" spans="1:20" x14ac:dyDescent="0.2">
      <c r="A401">
        <v>400</v>
      </c>
      <c r="B401" t="s">
        <v>13</v>
      </c>
      <c r="C401" t="s">
        <v>14</v>
      </c>
      <c r="D401">
        <v>44</v>
      </c>
      <c r="E401" t="s">
        <v>15</v>
      </c>
      <c r="F401" t="s">
        <v>34</v>
      </c>
      <c r="G401">
        <v>519637</v>
      </c>
      <c r="H401" t="s">
        <v>377</v>
      </c>
      <c r="J401" t="s">
        <v>18</v>
      </c>
      <c r="K401">
        <v>4</v>
      </c>
      <c r="L401">
        <v>12</v>
      </c>
      <c r="M401">
        <v>96</v>
      </c>
      <c r="N401">
        <f>IF(Table1[[#This Row],[Employment_Status]]="Exited",1,0)</f>
        <v>0</v>
      </c>
      <c r="O401" t="str" cm="1">
        <f t="array" ref="O401">_xlfn.IFS(AND(Table1[[#This Row],[Age]]&gt;=22,Table1[[#This Row],[Age]]&lt;=35),"22-35",AND(Table1[[#This Row],[Age]]&gt;=36,Table1[[#This Row],[Age]]&lt;=45),"36-45",AND(Table1[[#This Row],[Age]]&gt;=46,Table1[[#This Row],[Age]]&lt;=55),"46-55")</f>
        <v>36-45</v>
      </c>
      <c r="P401">
        <f>IF(Table1[[#This Row],[Employment_Status]]="active",1,0)</f>
        <v>1</v>
      </c>
      <c r="Q401">
        <v>1</v>
      </c>
      <c r="R401" s="6">
        <f ca="1">YEARFRAC(Table1[[#This Row],[Hire_Date]],IF(Table1[[#This Row],[Employment_Status]]="Exited",Table1[[#This Row],[Exit_Date]],TODAY()))</f>
        <v>3.7583333333333333</v>
      </c>
      <c r="S401" t="str" cm="1">
        <f t="array" aca="1" ref="S401" ca="1">_xlfn.IFS(AND(Table1[[#This Row],[Tenure]]&gt;=0,Table1[[#This Row],[Tenure]]&lt;=1),"0-1",AND(Table1[[#This Row],[Tenure]]&gt;1,Table1[[#This Row],[Tenure]]&lt;=3),"1-3",AND(Table1[[#This Row],[Tenure]]&gt;3,Table1[[#This Row],[Tenure]]&lt;=5),"3-5",AND(Table1[[#This Row],[Tenure]]&gt;5,Table1[[#This Row],[Tenure]]&lt;=8),"5-8")</f>
        <v>3-5</v>
      </c>
      <c r="T401" t="str" cm="1">
        <f t="array" ref="T401">_xlfn.IFS(AND(Table1[[#This Row],[Salary]]&gt;=180000, Table1[[#This Row],[Salary]] &lt;=500000),"Low (180k-500k)", AND(Table1[[#This Row],[Salary]]&gt;500000, Table1[[#This Row],[Salary]]&lt;=800000), "Medium (501k-800k)", AND(Table1[[#This Row],[Salary]]&gt;800000, Table1[[#This Row],[Salary]]&lt;1200000), "High (801k - 1.2m)")</f>
        <v>Medium (501k-800k)</v>
      </c>
    </row>
    <row r="402" spans="1:20" x14ac:dyDescent="0.2">
      <c r="A402">
        <v>401</v>
      </c>
      <c r="B402" t="s">
        <v>58</v>
      </c>
      <c r="C402" t="s">
        <v>20</v>
      </c>
      <c r="D402">
        <v>36</v>
      </c>
      <c r="E402" t="s">
        <v>15</v>
      </c>
      <c r="F402" t="s">
        <v>22</v>
      </c>
      <c r="G402">
        <v>1183793</v>
      </c>
      <c r="H402" t="s">
        <v>455</v>
      </c>
      <c r="J402" t="s">
        <v>18</v>
      </c>
      <c r="K402">
        <v>4</v>
      </c>
      <c r="L402">
        <v>50</v>
      </c>
      <c r="M402">
        <v>82</v>
      </c>
      <c r="N402">
        <f>IF(Table1[[#This Row],[Employment_Status]]="Exited",1,0)</f>
        <v>0</v>
      </c>
      <c r="O402" t="str" cm="1">
        <f t="array" ref="O402">_xlfn.IFS(AND(Table1[[#This Row],[Age]]&gt;=22,Table1[[#This Row],[Age]]&lt;=35),"22-35",AND(Table1[[#This Row],[Age]]&gt;=36,Table1[[#This Row],[Age]]&lt;=45),"36-45",AND(Table1[[#This Row],[Age]]&gt;=46,Table1[[#This Row],[Age]]&lt;=55),"46-55")</f>
        <v>36-45</v>
      </c>
      <c r="P402">
        <f>IF(Table1[[#This Row],[Employment_Status]]="active",1,0)</f>
        <v>1</v>
      </c>
      <c r="Q402">
        <v>1</v>
      </c>
      <c r="R402" s="6">
        <f ca="1">YEARFRAC(Table1[[#This Row],[Hire_Date]],IF(Table1[[#This Row],[Employment_Status]]="Exited",Table1[[#This Row],[Exit_Date]],TODAY()))</f>
        <v>6.7305555555555552</v>
      </c>
      <c r="S402" t="str" cm="1">
        <f t="array" aca="1" ref="S402" ca="1">_xlfn.IFS(AND(Table1[[#This Row],[Tenure]]&gt;=0,Table1[[#This Row],[Tenure]]&lt;=1),"0-1",AND(Table1[[#This Row],[Tenure]]&gt;1,Table1[[#This Row],[Tenure]]&lt;=3),"1-3",AND(Table1[[#This Row],[Tenure]]&gt;3,Table1[[#This Row],[Tenure]]&lt;=5),"3-5",AND(Table1[[#This Row],[Tenure]]&gt;5,Table1[[#This Row],[Tenure]]&lt;=8),"5-8")</f>
        <v>5-8</v>
      </c>
      <c r="T402" t="str" cm="1">
        <f t="array" ref="T402">_xlfn.IFS(AND(Table1[[#This Row],[Salary]]&gt;=180000, Table1[[#This Row],[Salary]] &lt;=500000),"Low (180k-500k)", AND(Table1[[#This Row],[Salary]]&gt;500000, Table1[[#This Row],[Salary]]&lt;=800000), "Medium (501k-800k)", AND(Table1[[#This Row],[Salary]]&gt;800000, Table1[[#This Row],[Salary]]&lt;1200000), "High (801k - 1.2m)")</f>
        <v>High (801k - 1.2m)</v>
      </c>
    </row>
    <row r="403" spans="1:20" x14ac:dyDescent="0.2">
      <c r="A403">
        <v>402</v>
      </c>
      <c r="B403" t="s">
        <v>36</v>
      </c>
      <c r="C403" t="s">
        <v>20</v>
      </c>
      <c r="D403">
        <v>54</v>
      </c>
      <c r="E403" t="s">
        <v>15</v>
      </c>
      <c r="F403" t="s">
        <v>27</v>
      </c>
      <c r="G403">
        <v>973877</v>
      </c>
      <c r="H403" t="s">
        <v>456</v>
      </c>
      <c r="I403" t="s">
        <v>457</v>
      </c>
      <c r="J403" t="s">
        <v>55</v>
      </c>
      <c r="K403">
        <v>4</v>
      </c>
      <c r="L403">
        <v>33</v>
      </c>
      <c r="M403">
        <v>89</v>
      </c>
      <c r="N403">
        <f>IF(Table1[[#This Row],[Employment_Status]]="Exited",1,0)</f>
        <v>1</v>
      </c>
      <c r="O403" t="str" cm="1">
        <f t="array" ref="O403">_xlfn.IFS(AND(Table1[[#This Row],[Age]]&gt;=22,Table1[[#This Row],[Age]]&lt;=35),"22-35",AND(Table1[[#This Row],[Age]]&gt;=36,Table1[[#This Row],[Age]]&lt;=45),"36-45",AND(Table1[[#This Row],[Age]]&gt;=46,Table1[[#This Row],[Age]]&lt;=55),"46-55")</f>
        <v>46-55</v>
      </c>
      <c r="P403">
        <f>IF(Table1[[#This Row],[Employment_Status]]="active",1,0)</f>
        <v>0</v>
      </c>
      <c r="Q403">
        <v>1</v>
      </c>
      <c r="R403" s="6">
        <f ca="1">YEARFRAC(Table1[[#This Row],[Hire_Date]],IF(Table1[[#This Row],[Employment_Status]]="Exited",Table1[[#This Row],[Exit_Date]],TODAY()))</f>
        <v>1.8916666666666666</v>
      </c>
      <c r="S403" t="str" cm="1">
        <f t="array" aca="1" ref="S403" ca="1">_xlfn.IFS(AND(Table1[[#This Row],[Tenure]]&gt;=0,Table1[[#This Row],[Tenure]]&lt;=1),"0-1",AND(Table1[[#This Row],[Tenure]]&gt;1,Table1[[#This Row],[Tenure]]&lt;=3),"1-3",AND(Table1[[#This Row],[Tenure]]&gt;3,Table1[[#This Row],[Tenure]]&lt;=5),"3-5",AND(Table1[[#This Row],[Tenure]]&gt;5,Table1[[#This Row],[Tenure]]&lt;=8),"5-8")</f>
        <v>1-3</v>
      </c>
      <c r="T403" t="str" cm="1">
        <f t="array" ref="T403">_xlfn.IFS(AND(Table1[[#This Row],[Salary]]&gt;=180000, Table1[[#This Row],[Salary]] &lt;=500000),"Low (180k-500k)", AND(Table1[[#This Row],[Salary]]&gt;500000, Table1[[#This Row],[Salary]]&lt;=800000), "Medium (501k-800k)", AND(Table1[[#This Row],[Salary]]&gt;800000, Table1[[#This Row],[Salary]]&lt;1200000), "High (801k - 1.2m)")</f>
        <v>High (801k - 1.2m)</v>
      </c>
    </row>
    <row r="404" spans="1:20" x14ac:dyDescent="0.2">
      <c r="A404">
        <v>403</v>
      </c>
      <c r="B404" t="s">
        <v>33</v>
      </c>
      <c r="C404" t="s">
        <v>20</v>
      </c>
      <c r="D404">
        <v>51</v>
      </c>
      <c r="E404" t="s">
        <v>15</v>
      </c>
      <c r="F404" t="s">
        <v>22</v>
      </c>
      <c r="G404">
        <v>621348</v>
      </c>
      <c r="H404" t="s">
        <v>458</v>
      </c>
      <c r="J404" t="s">
        <v>18</v>
      </c>
      <c r="K404">
        <v>2</v>
      </c>
      <c r="L404">
        <v>20</v>
      </c>
      <c r="M404">
        <v>98</v>
      </c>
      <c r="N404">
        <f>IF(Table1[[#This Row],[Employment_Status]]="Exited",1,0)</f>
        <v>0</v>
      </c>
      <c r="O404" t="str" cm="1">
        <f t="array" ref="O404">_xlfn.IFS(AND(Table1[[#This Row],[Age]]&gt;=22,Table1[[#This Row],[Age]]&lt;=35),"22-35",AND(Table1[[#This Row],[Age]]&gt;=36,Table1[[#This Row],[Age]]&lt;=45),"36-45",AND(Table1[[#This Row],[Age]]&gt;=46,Table1[[#This Row],[Age]]&lt;=55),"46-55")</f>
        <v>46-55</v>
      </c>
      <c r="P404">
        <f>IF(Table1[[#This Row],[Employment_Status]]="active",1,0)</f>
        <v>1</v>
      </c>
      <c r="Q404">
        <v>1</v>
      </c>
      <c r="R404" s="6">
        <f ca="1">YEARFRAC(Table1[[#This Row],[Hire_Date]],IF(Table1[[#This Row],[Employment_Status]]="Exited",Table1[[#This Row],[Exit_Date]],TODAY()))</f>
        <v>3.786111111111111</v>
      </c>
      <c r="S404" t="str" cm="1">
        <f t="array" aca="1" ref="S404" ca="1">_xlfn.IFS(AND(Table1[[#This Row],[Tenure]]&gt;=0,Table1[[#This Row],[Tenure]]&lt;=1),"0-1",AND(Table1[[#This Row],[Tenure]]&gt;1,Table1[[#This Row],[Tenure]]&lt;=3),"1-3",AND(Table1[[#This Row],[Tenure]]&gt;3,Table1[[#This Row],[Tenure]]&lt;=5),"3-5",AND(Table1[[#This Row],[Tenure]]&gt;5,Table1[[#This Row],[Tenure]]&lt;=8),"5-8")</f>
        <v>3-5</v>
      </c>
      <c r="T404" t="str" cm="1">
        <f t="array" ref="T404">_xlfn.IFS(AND(Table1[[#This Row],[Salary]]&gt;=180000, Table1[[#This Row],[Salary]] &lt;=500000),"Low (180k-500k)", AND(Table1[[#This Row],[Salary]]&gt;500000, Table1[[#This Row],[Salary]]&lt;=800000), "Medium (501k-800k)", AND(Table1[[#This Row],[Salary]]&gt;800000, Table1[[#This Row],[Salary]]&lt;1200000), "High (801k - 1.2m)")</f>
        <v>Medium (501k-800k)</v>
      </c>
    </row>
    <row r="405" spans="1:20" x14ac:dyDescent="0.2">
      <c r="A405">
        <v>404</v>
      </c>
      <c r="B405" t="s">
        <v>19</v>
      </c>
      <c r="C405" t="s">
        <v>20</v>
      </c>
      <c r="D405">
        <v>23</v>
      </c>
      <c r="E405" t="s">
        <v>15</v>
      </c>
      <c r="F405" t="s">
        <v>16</v>
      </c>
      <c r="G405">
        <v>519794</v>
      </c>
      <c r="H405" t="s">
        <v>459</v>
      </c>
      <c r="J405" t="s">
        <v>18</v>
      </c>
      <c r="K405">
        <v>3</v>
      </c>
      <c r="L405">
        <v>15</v>
      </c>
      <c r="M405">
        <v>98</v>
      </c>
      <c r="N405">
        <f>IF(Table1[[#This Row],[Employment_Status]]="Exited",1,0)</f>
        <v>0</v>
      </c>
      <c r="O405" t="str" cm="1">
        <f t="array" ref="O405">_xlfn.IFS(AND(Table1[[#This Row],[Age]]&gt;=22,Table1[[#This Row],[Age]]&lt;=35),"22-35",AND(Table1[[#This Row],[Age]]&gt;=36,Table1[[#This Row],[Age]]&lt;=45),"36-45",AND(Table1[[#This Row],[Age]]&gt;=46,Table1[[#This Row],[Age]]&lt;=55),"46-55")</f>
        <v>22-35</v>
      </c>
      <c r="P405">
        <f>IF(Table1[[#This Row],[Employment_Status]]="active",1,0)</f>
        <v>1</v>
      </c>
      <c r="Q405">
        <v>1</v>
      </c>
      <c r="R405" s="6">
        <f ca="1">YEARFRAC(Table1[[#This Row],[Hire_Date]],IF(Table1[[#This Row],[Employment_Status]]="Exited",Table1[[#This Row],[Exit_Date]],TODAY()))</f>
        <v>2.5388888888888888</v>
      </c>
      <c r="S405" t="str" cm="1">
        <f t="array" aca="1" ref="S405" ca="1">_xlfn.IFS(AND(Table1[[#This Row],[Tenure]]&gt;=0,Table1[[#This Row],[Tenure]]&lt;=1),"0-1",AND(Table1[[#This Row],[Tenure]]&gt;1,Table1[[#This Row],[Tenure]]&lt;=3),"1-3",AND(Table1[[#This Row],[Tenure]]&gt;3,Table1[[#This Row],[Tenure]]&lt;=5),"3-5",AND(Table1[[#This Row],[Tenure]]&gt;5,Table1[[#This Row],[Tenure]]&lt;=8),"5-8")</f>
        <v>1-3</v>
      </c>
      <c r="T405" t="str" cm="1">
        <f t="array" ref="T405">_xlfn.IFS(AND(Table1[[#This Row],[Salary]]&gt;=180000, Table1[[#This Row],[Salary]] &lt;=500000),"Low (180k-500k)", AND(Table1[[#This Row],[Salary]]&gt;500000, Table1[[#This Row],[Salary]]&lt;=800000), "Medium (501k-800k)", AND(Table1[[#This Row],[Salary]]&gt;800000, Table1[[#This Row],[Salary]]&lt;1200000), "High (801k - 1.2m)")</f>
        <v>Medium (501k-800k)</v>
      </c>
    </row>
    <row r="406" spans="1:20" x14ac:dyDescent="0.2">
      <c r="A406">
        <v>405</v>
      </c>
      <c r="B406" t="s">
        <v>75</v>
      </c>
      <c r="C406" t="s">
        <v>14</v>
      </c>
      <c r="D406">
        <v>38</v>
      </c>
      <c r="E406" t="s">
        <v>21</v>
      </c>
      <c r="F406" t="s">
        <v>16</v>
      </c>
      <c r="G406">
        <v>586605</v>
      </c>
      <c r="H406" t="s">
        <v>460</v>
      </c>
      <c r="J406" t="s">
        <v>18</v>
      </c>
      <c r="K406">
        <v>4</v>
      </c>
      <c r="L406">
        <v>35</v>
      </c>
      <c r="M406">
        <v>99</v>
      </c>
      <c r="N406">
        <f>IF(Table1[[#This Row],[Employment_Status]]="Exited",1,0)</f>
        <v>0</v>
      </c>
      <c r="O406" t="str" cm="1">
        <f t="array" ref="O406">_xlfn.IFS(AND(Table1[[#This Row],[Age]]&gt;=22,Table1[[#This Row],[Age]]&lt;=35),"22-35",AND(Table1[[#This Row],[Age]]&gt;=36,Table1[[#This Row],[Age]]&lt;=45),"36-45",AND(Table1[[#This Row],[Age]]&gt;=46,Table1[[#This Row],[Age]]&lt;=55),"46-55")</f>
        <v>36-45</v>
      </c>
      <c r="P406">
        <f>IF(Table1[[#This Row],[Employment_Status]]="active",1,0)</f>
        <v>1</v>
      </c>
      <c r="Q406">
        <v>1</v>
      </c>
      <c r="R406" s="6">
        <f ca="1">YEARFRAC(Table1[[#This Row],[Hire_Date]],IF(Table1[[#This Row],[Employment_Status]]="Exited",Table1[[#This Row],[Exit_Date]],TODAY()))</f>
        <v>1.9972222222222222</v>
      </c>
      <c r="S406" t="str" cm="1">
        <f t="array" aca="1" ref="S406" ca="1">_xlfn.IFS(AND(Table1[[#This Row],[Tenure]]&gt;=0,Table1[[#This Row],[Tenure]]&lt;=1),"0-1",AND(Table1[[#This Row],[Tenure]]&gt;1,Table1[[#This Row],[Tenure]]&lt;=3),"1-3",AND(Table1[[#This Row],[Tenure]]&gt;3,Table1[[#This Row],[Tenure]]&lt;=5),"3-5",AND(Table1[[#This Row],[Tenure]]&gt;5,Table1[[#This Row],[Tenure]]&lt;=8),"5-8")</f>
        <v>1-3</v>
      </c>
      <c r="T406" t="str" cm="1">
        <f t="array" ref="T406">_xlfn.IFS(AND(Table1[[#This Row],[Salary]]&gt;=180000, Table1[[#This Row],[Salary]] &lt;=500000),"Low (180k-500k)", AND(Table1[[#This Row],[Salary]]&gt;500000, Table1[[#This Row],[Salary]]&lt;=800000), "Medium (501k-800k)", AND(Table1[[#This Row],[Salary]]&gt;800000, Table1[[#This Row],[Salary]]&lt;1200000), "High (801k - 1.2m)")</f>
        <v>Medium (501k-800k)</v>
      </c>
    </row>
    <row r="407" spans="1:20" x14ac:dyDescent="0.2">
      <c r="A407">
        <v>406</v>
      </c>
      <c r="B407" t="s">
        <v>75</v>
      </c>
      <c r="C407" t="s">
        <v>14</v>
      </c>
      <c r="D407">
        <v>26</v>
      </c>
      <c r="E407" t="s">
        <v>21</v>
      </c>
      <c r="F407" t="s">
        <v>27</v>
      </c>
      <c r="G407">
        <v>629703</v>
      </c>
      <c r="H407" t="s">
        <v>130</v>
      </c>
      <c r="J407" t="s">
        <v>18</v>
      </c>
      <c r="K407">
        <v>4</v>
      </c>
      <c r="L407">
        <v>39</v>
      </c>
      <c r="M407">
        <v>84</v>
      </c>
      <c r="N407">
        <f>IF(Table1[[#This Row],[Employment_Status]]="Exited",1,0)</f>
        <v>0</v>
      </c>
      <c r="O407" t="str" cm="1">
        <f t="array" ref="O407">_xlfn.IFS(AND(Table1[[#This Row],[Age]]&gt;=22,Table1[[#This Row],[Age]]&lt;=35),"22-35",AND(Table1[[#This Row],[Age]]&gt;=36,Table1[[#This Row],[Age]]&lt;=45),"36-45",AND(Table1[[#This Row],[Age]]&gt;=46,Table1[[#This Row],[Age]]&lt;=55),"46-55")</f>
        <v>22-35</v>
      </c>
      <c r="P407">
        <f>IF(Table1[[#This Row],[Employment_Status]]="active",1,0)</f>
        <v>1</v>
      </c>
      <c r="Q407">
        <v>1</v>
      </c>
      <c r="R407" s="6">
        <f ca="1">YEARFRAC(Table1[[#This Row],[Hire_Date]],IF(Table1[[#This Row],[Employment_Status]]="Exited",Table1[[#This Row],[Exit_Date]],TODAY()))</f>
        <v>5.166666666666667</v>
      </c>
      <c r="S407" t="str" cm="1">
        <f t="array" aca="1" ref="S407" ca="1">_xlfn.IFS(AND(Table1[[#This Row],[Tenure]]&gt;=0,Table1[[#This Row],[Tenure]]&lt;=1),"0-1",AND(Table1[[#This Row],[Tenure]]&gt;1,Table1[[#This Row],[Tenure]]&lt;=3),"1-3",AND(Table1[[#This Row],[Tenure]]&gt;3,Table1[[#This Row],[Tenure]]&lt;=5),"3-5",AND(Table1[[#This Row],[Tenure]]&gt;5,Table1[[#This Row],[Tenure]]&lt;=8),"5-8")</f>
        <v>5-8</v>
      </c>
      <c r="T407" t="str" cm="1">
        <f t="array" ref="T407">_xlfn.IFS(AND(Table1[[#This Row],[Salary]]&gt;=180000, Table1[[#This Row],[Salary]] &lt;=500000),"Low (180k-500k)", AND(Table1[[#This Row],[Salary]]&gt;500000, Table1[[#This Row],[Salary]]&lt;=800000), "Medium (501k-800k)", AND(Table1[[#This Row],[Salary]]&gt;800000, Table1[[#This Row],[Salary]]&lt;1200000), "High (801k - 1.2m)")</f>
        <v>Medium (501k-800k)</v>
      </c>
    </row>
    <row r="408" spans="1:20" x14ac:dyDescent="0.2">
      <c r="A408">
        <v>407</v>
      </c>
      <c r="B408" t="s">
        <v>24</v>
      </c>
      <c r="C408" t="s">
        <v>14</v>
      </c>
      <c r="D408">
        <v>30</v>
      </c>
      <c r="E408" t="s">
        <v>45</v>
      </c>
      <c r="F408" t="s">
        <v>27</v>
      </c>
      <c r="G408">
        <v>340369</v>
      </c>
      <c r="H408" t="s">
        <v>461</v>
      </c>
      <c r="J408" t="s">
        <v>18</v>
      </c>
      <c r="K408">
        <v>5</v>
      </c>
      <c r="L408">
        <v>49</v>
      </c>
      <c r="M408">
        <v>75</v>
      </c>
      <c r="N408">
        <f>IF(Table1[[#This Row],[Employment_Status]]="Exited",1,0)</f>
        <v>0</v>
      </c>
      <c r="O408" t="str" cm="1">
        <f t="array" ref="O408">_xlfn.IFS(AND(Table1[[#This Row],[Age]]&gt;=22,Table1[[#This Row],[Age]]&lt;=35),"22-35",AND(Table1[[#This Row],[Age]]&gt;=36,Table1[[#This Row],[Age]]&lt;=45),"36-45",AND(Table1[[#This Row],[Age]]&gt;=46,Table1[[#This Row],[Age]]&lt;=55),"46-55")</f>
        <v>22-35</v>
      </c>
      <c r="P408">
        <f>IF(Table1[[#This Row],[Employment_Status]]="active",1,0)</f>
        <v>1</v>
      </c>
      <c r="Q408">
        <v>1</v>
      </c>
      <c r="R408" s="6">
        <f ca="1">YEARFRAC(Table1[[#This Row],[Hire_Date]],IF(Table1[[#This Row],[Employment_Status]]="Exited",Table1[[#This Row],[Exit_Date]],TODAY()))</f>
        <v>4.7361111111111107</v>
      </c>
      <c r="S408" t="str" cm="1">
        <f t="array" aca="1" ref="S408" ca="1">_xlfn.IFS(AND(Table1[[#This Row],[Tenure]]&gt;=0,Table1[[#This Row],[Tenure]]&lt;=1),"0-1",AND(Table1[[#This Row],[Tenure]]&gt;1,Table1[[#This Row],[Tenure]]&lt;=3),"1-3",AND(Table1[[#This Row],[Tenure]]&gt;3,Table1[[#This Row],[Tenure]]&lt;=5),"3-5",AND(Table1[[#This Row],[Tenure]]&gt;5,Table1[[#This Row],[Tenure]]&lt;=8),"5-8")</f>
        <v>3-5</v>
      </c>
      <c r="T408" t="str" cm="1">
        <f t="array" ref="T408">_xlfn.IFS(AND(Table1[[#This Row],[Salary]]&gt;=180000, Table1[[#This Row],[Salary]] &lt;=500000),"Low (180k-500k)", AND(Table1[[#This Row],[Salary]]&gt;500000, Table1[[#This Row],[Salary]]&lt;=800000), "Medium (501k-800k)", AND(Table1[[#This Row],[Salary]]&gt;800000, Table1[[#This Row],[Salary]]&lt;1200000), "High (801k - 1.2m)")</f>
        <v>Low (180k-500k)</v>
      </c>
    </row>
    <row r="409" spans="1:20" x14ac:dyDescent="0.2">
      <c r="A409">
        <v>408</v>
      </c>
      <c r="B409" t="s">
        <v>58</v>
      </c>
      <c r="C409" t="s">
        <v>14</v>
      </c>
      <c r="D409">
        <v>33</v>
      </c>
      <c r="E409" t="s">
        <v>15</v>
      </c>
      <c r="F409" t="s">
        <v>22</v>
      </c>
      <c r="G409">
        <v>570646</v>
      </c>
      <c r="H409" t="s">
        <v>176</v>
      </c>
      <c r="J409" t="s">
        <v>18</v>
      </c>
      <c r="K409">
        <v>2</v>
      </c>
      <c r="L409">
        <v>7</v>
      </c>
      <c r="M409">
        <v>92</v>
      </c>
      <c r="N409">
        <f>IF(Table1[[#This Row],[Employment_Status]]="Exited",1,0)</f>
        <v>0</v>
      </c>
      <c r="O409" t="str" cm="1">
        <f t="array" ref="O409">_xlfn.IFS(AND(Table1[[#This Row],[Age]]&gt;=22,Table1[[#This Row],[Age]]&lt;=35),"22-35",AND(Table1[[#This Row],[Age]]&gt;=36,Table1[[#This Row],[Age]]&lt;=45),"36-45",AND(Table1[[#This Row],[Age]]&gt;=46,Table1[[#This Row],[Age]]&lt;=55),"46-55")</f>
        <v>22-35</v>
      </c>
      <c r="P409">
        <f>IF(Table1[[#This Row],[Employment_Status]]="active",1,0)</f>
        <v>1</v>
      </c>
      <c r="Q409">
        <v>1</v>
      </c>
      <c r="R409" s="6">
        <f ca="1">YEARFRAC(Table1[[#This Row],[Hire_Date]],IF(Table1[[#This Row],[Employment_Status]]="Exited",Table1[[#This Row],[Exit_Date]],TODAY()))</f>
        <v>3.7944444444444443</v>
      </c>
      <c r="S409" t="str" cm="1">
        <f t="array" aca="1" ref="S409" ca="1">_xlfn.IFS(AND(Table1[[#This Row],[Tenure]]&gt;=0,Table1[[#This Row],[Tenure]]&lt;=1),"0-1",AND(Table1[[#This Row],[Tenure]]&gt;1,Table1[[#This Row],[Tenure]]&lt;=3),"1-3",AND(Table1[[#This Row],[Tenure]]&gt;3,Table1[[#This Row],[Tenure]]&lt;=5),"3-5",AND(Table1[[#This Row],[Tenure]]&gt;5,Table1[[#This Row],[Tenure]]&lt;=8),"5-8")</f>
        <v>3-5</v>
      </c>
      <c r="T409" t="str" cm="1">
        <f t="array" ref="T409">_xlfn.IFS(AND(Table1[[#This Row],[Salary]]&gt;=180000, Table1[[#This Row],[Salary]] &lt;=500000),"Low (180k-500k)", AND(Table1[[#This Row],[Salary]]&gt;500000, Table1[[#This Row],[Salary]]&lt;=800000), "Medium (501k-800k)", AND(Table1[[#This Row],[Salary]]&gt;800000, Table1[[#This Row],[Salary]]&lt;1200000), "High (801k - 1.2m)")</f>
        <v>Medium (501k-800k)</v>
      </c>
    </row>
    <row r="410" spans="1:20" x14ac:dyDescent="0.2">
      <c r="A410">
        <v>409</v>
      </c>
      <c r="B410" t="s">
        <v>40</v>
      </c>
      <c r="C410" t="s">
        <v>20</v>
      </c>
      <c r="D410">
        <v>46</v>
      </c>
      <c r="E410" t="s">
        <v>21</v>
      </c>
      <c r="F410" t="s">
        <v>27</v>
      </c>
      <c r="G410">
        <v>467625</v>
      </c>
      <c r="H410" t="s">
        <v>462</v>
      </c>
      <c r="J410" t="s">
        <v>18</v>
      </c>
      <c r="K410">
        <v>4</v>
      </c>
      <c r="L410">
        <v>29</v>
      </c>
      <c r="M410">
        <v>73</v>
      </c>
      <c r="N410">
        <f>IF(Table1[[#This Row],[Employment_Status]]="Exited",1,0)</f>
        <v>0</v>
      </c>
      <c r="O410" t="str" cm="1">
        <f t="array" ref="O410">_xlfn.IFS(AND(Table1[[#This Row],[Age]]&gt;=22,Table1[[#This Row],[Age]]&lt;=35),"22-35",AND(Table1[[#This Row],[Age]]&gt;=36,Table1[[#This Row],[Age]]&lt;=45),"36-45",AND(Table1[[#This Row],[Age]]&gt;=46,Table1[[#This Row],[Age]]&lt;=55),"46-55")</f>
        <v>46-55</v>
      </c>
      <c r="P410">
        <f>IF(Table1[[#This Row],[Employment_Status]]="active",1,0)</f>
        <v>1</v>
      </c>
      <c r="Q410">
        <v>1</v>
      </c>
      <c r="R410" s="6">
        <f ca="1">YEARFRAC(Table1[[#This Row],[Hire_Date]],IF(Table1[[#This Row],[Employment_Status]]="Exited",Table1[[#This Row],[Exit_Date]],TODAY()))</f>
        <v>5.3527777777777779</v>
      </c>
      <c r="S410" t="str" cm="1">
        <f t="array" aca="1" ref="S410" ca="1">_xlfn.IFS(AND(Table1[[#This Row],[Tenure]]&gt;=0,Table1[[#This Row],[Tenure]]&lt;=1),"0-1",AND(Table1[[#This Row],[Tenure]]&gt;1,Table1[[#This Row],[Tenure]]&lt;=3),"1-3",AND(Table1[[#This Row],[Tenure]]&gt;3,Table1[[#This Row],[Tenure]]&lt;=5),"3-5",AND(Table1[[#This Row],[Tenure]]&gt;5,Table1[[#This Row],[Tenure]]&lt;=8),"5-8")</f>
        <v>5-8</v>
      </c>
      <c r="T410" t="str" cm="1">
        <f t="array" ref="T410">_xlfn.IFS(AND(Table1[[#This Row],[Salary]]&gt;=180000, Table1[[#This Row],[Salary]] &lt;=500000),"Low (180k-500k)", AND(Table1[[#This Row],[Salary]]&gt;500000, Table1[[#This Row],[Salary]]&lt;=800000), "Medium (501k-800k)", AND(Table1[[#This Row],[Salary]]&gt;800000, Table1[[#This Row],[Salary]]&lt;1200000), "High (801k - 1.2m)")</f>
        <v>Low (180k-500k)</v>
      </c>
    </row>
    <row r="411" spans="1:20" x14ac:dyDescent="0.2">
      <c r="A411">
        <v>410</v>
      </c>
      <c r="B411" t="s">
        <v>24</v>
      </c>
      <c r="C411" t="s">
        <v>20</v>
      </c>
      <c r="D411">
        <v>49</v>
      </c>
      <c r="E411" t="s">
        <v>21</v>
      </c>
      <c r="F411" t="s">
        <v>16</v>
      </c>
      <c r="G411">
        <v>286028</v>
      </c>
      <c r="H411" t="s">
        <v>125</v>
      </c>
      <c r="J411" t="s">
        <v>18</v>
      </c>
      <c r="K411">
        <v>5</v>
      </c>
      <c r="L411">
        <v>48</v>
      </c>
      <c r="M411">
        <v>85</v>
      </c>
      <c r="N411">
        <f>IF(Table1[[#This Row],[Employment_Status]]="Exited",1,0)</f>
        <v>0</v>
      </c>
      <c r="O411" t="str" cm="1">
        <f t="array" ref="O411">_xlfn.IFS(AND(Table1[[#This Row],[Age]]&gt;=22,Table1[[#This Row],[Age]]&lt;=35),"22-35",AND(Table1[[#This Row],[Age]]&gt;=36,Table1[[#This Row],[Age]]&lt;=45),"36-45",AND(Table1[[#This Row],[Age]]&gt;=46,Table1[[#This Row],[Age]]&lt;=55),"46-55")</f>
        <v>46-55</v>
      </c>
      <c r="P411">
        <f>IF(Table1[[#This Row],[Employment_Status]]="active",1,0)</f>
        <v>1</v>
      </c>
      <c r="Q411">
        <v>1</v>
      </c>
      <c r="R411" s="6">
        <f ca="1">YEARFRAC(Table1[[#This Row],[Hire_Date]],IF(Table1[[#This Row],[Employment_Status]]="Exited",Table1[[#This Row],[Exit_Date]],TODAY()))</f>
        <v>4.7305555555555552</v>
      </c>
      <c r="S411" t="str" cm="1">
        <f t="array" aca="1" ref="S411" ca="1">_xlfn.IFS(AND(Table1[[#This Row],[Tenure]]&gt;=0,Table1[[#This Row],[Tenure]]&lt;=1),"0-1",AND(Table1[[#This Row],[Tenure]]&gt;1,Table1[[#This Row],[Tenure]]&lt;=3),"1-3",AND(Table1[[#This Row],[Tenure]]&gt;3,Table1[[#This Row],[Tenure]]&lt;=5),"3-5",AND(Table1[[#This Row],[Tenure]]&gt;5,Table1[[#This Row],[Tenure]]&lt;=8),"5-8")</f>
        <v>3-5</v>
      </c>
      <c r="T411" t="str" cm="1">
        <f t="array" ref="T411">_xlfn.IFS(AND(Table1[[#This Row],[Salary]]&gt;=180000, Table1[[#This Row],[Salary]] &lt;=500000),"Low (180k-500k)", AND(Table1[[#This Row],[Salary]]&gt;500000, Table1[[#This Row],[Salary]]&lt;=800000), "Medium (501k-800k)", AND(Table1[[#This Row],[Salary]]&gt;800000, Table1[[#This Row],[Salary]]&lt;1200000), "High (801k - 1.2m)")</f>
        <v>Low (180k-500k)</v>
      </c>
    </row>
    <row r="412" spans="1:20" x14ac:dyDescent="0.2">
      <c r="A412">
        <v>411</v>
      </c>
      <c r="B412" t="s">
        <v>58</v>
      </c>
      <c r="C412" t="s">
        <v>14</v>
      </c>
      <c r="D412">
        <v>26</v>
      </c>
      <c r="E412" t="s">
        <v>21</v>
      </c>
      <c r="F412" t="s">
        <v>34</v>
      </c>
      <c r="G412">
        <v>656549</v>
      </c>
      <c r="H412" t="s">
        <v>151</v>
      </c>
      <c r="J412" t="s">
        <v>18</v>
      </c>
      <c r="K412">
        <v>4</v>
      </c>
      <c r="L412">
        <v>33</v>
      </c>
      <c r="M412">
        <v>90</v>
      </c>
      <c r="N412">
        <f>IF(Table1[[#This Row],[Employment_Status]]="Exited",1,0)</f>
        <v>0</v>
      </c>
      <c r="O412" t="str" cm="1">
        <f t="array" ref="O412">_xlfn.IFS(AND(Table1[[#This Row],[Age]]&gt;=22,Table1[[#This Row],[Age]]&lt;=35),"22-35",AND(Table1[[#This Row],[Age]]&gt;=36,Table1[[#This Row],[Age]]&lt;=45),"36-45",AND(Table1[[#This Row],[Age]]&gt;=46,Table1[[#This Row],[Age]]&lt;=55),"46-55")</f>
        <v>22-35</v>
      </c>
      <c r="P412">
        <f>IF(Table1[[#This Row],[Employment_Status]]="active",1,0)</f>
        <v>1</v>
      </c>
      <c r="Q412">
        <v>1</v>
      </c>
      <c r="R412" s="6">
        <f ca="1">YEARFRAC(Table1[[#This Row],[Hire_Date]],IF(Table1[[#This Row],[Employment_Status]]="Exited",Table1[[#This Row],[Exit_Date]],TODAY()))</f>
        <v>4.4194444444444443</v>
      </c>
      <c r="S412" t="str" cm="1">
        <f t="array" aca="1" ref="S412" ca="1">_xlfn.IFS(AND(Table1[[#This Row],[Tenure]]&gt;=0,Table1[[#This Row],[Tenure]]&lt;=1),"0-1",AND(Table1[[#This Row],[Tenure]]&gt;1,Table1[[#This Row],[Tenure]]&lt;=3),"1-3",AND(Table1[[#This Row],[Tenure]]&gt;3,Table1[[#This Row],[Tenure]]&lt;=5),"3-5",AND(Table1[[#This Row],[Tenure]]&gt;5,Table1[[#This Row],[Tenure]]&lt;=8),"5-8")</f>
        <v>3-5</v>
      </c>
      <c r="T412" t="str" cm="1">
        <f t="array" ref="T412">_xlfn.IFS(AND(Table1[[#This Row],[Salary]]&gt;=180000, Table1[[#This Row],[Salary]] &lt;=500000),"Low (180k-500k)", AND(Table1[[#This Row],[Salary]]&gt;500000, Table1[[#This Row],[Salary]]&lt;=800000), "Medium (501k-800k)", AND(Table1[[#This Row],[Salary]]&gt;800000, Table1[[#This Row],[Salary]]&lt;1200000), "High (801k - 1.2m)")</f>
        <v>Medium (501k-800k)</v>
      </c>
    </row>
    <row r="413" spans="1:20" x14ac:dyDescent="0.2">
      <c r="A413">
        <v>412</v>
      </c>
      <c r="B413" t="s">
        <v>26</v>
      </c>
      <c r="C413" t="s">
        <v>14</v>
      </c>
      <c r="D413">
        <v>38</v>
      </c>
      <c r="E413" t="s">
        <v>61</v>
      </c>
      <c r="F413" t="s">
        <v>27</v>
      </c>
      <c r="G413">
        <v>269206</v>
      </c>
      <c r="H413" t="s">
        <v>463</v>
      </c>
      <c r="J413" t="s">
        <v>18</v>
      </c>
      <c r="K413">
        <v>2</v>
      </c>
      <c r="L413">
        <v>8</v>
      </c>
      <c r="M413">
        <v>86</v>
      </c>
      <c r="N413">
        <f>IF(Table1[[#This Row],[Employment_Status]]="Exited",1,0)</f>
        <v>0</v>
      </c>
      <c r="O413" t="str" cm="1">
        <f t="array" ref="O413">_xlfn.IFS(AND(Table1[[#This Row],[Age]]&gt;=22,Table1[[#This Row],[Age]]&lt;=35),"22-35",AND(Table1[[#This Row],[Age]]&gt;=36,Table1[[#This Row],[Age]]&lt;=45),"36-45",AND(Table1[[#This Row],[Age]]&gt;=46,Table1[[#This Row],[Age]]&lt;=55),"46-55")</f>
        <v>36-45</v>
      </c>
      <c r="P413">
        <f>IF(Table1[[#This Row],[Employment_Status]]="active",1,0)</f>
        <v>1</v>
      </c>
      <c r="Q413">
        <v>1</v>
      </c>
      <c r="R413" s="6">
        <f ca="1">YEARFRAC(Table1[[#This Row],[Hire_Date]],IF(Table1[[#This Row],[Employment_Status]]="Exited",Table1[[#This Row],[Exit_Date]],TODAY()))</f>
        <v>6.947222222222222</v>
      </c>
      <c r="S413" t="str" cm="1">
        <f t="array" aca="1" ref="S413" ca="1">_xlfn.IFS(AND(Table1[[#This Row],[Tenure]]&gt;=0,Table1[[#This Row],[Tenure]]&lt;=1),"0-1",AND(Table1[[#This Row],[Tenure]]&gt;1,Table1[[#This Row],[Tenure]]&lt;=3),"1-3",AND(Table1[[#This Row],[Tenure]]&gt;3,Table1[[#This Row],[Tenure]]&lt;=5),"3-5",AND(Table1[[#This Row],[Tenure]]&gt;5,Table1[[#This Row],[Tenure]]&lt;=8),"5-8")</f>
        <v>5-8</v>
      </c>
      <c r="T413" t="str" cm="1">
        <f t="array" ref="T413">_xlfn.IFS(AND(Table1[[#This Row],[Salary]]&gt;=180000, Table1[[#This Row],[Salary]] &lt;=500000),"Low (180k-500k)", AND(Table1[[#This Row],[Salary]]&gt;500000, Table1[[#This Row],[Salary]]&lt;=800000), "Medium (501k-800k)", AND(Table1[[#This Row],[Salary]]&gt;800000, Table1[[#This Row],[Salary]]&lt;1200000), "High (801k - 1.2m)")</f>
        <v>Low (180k-500k)</v>
      </c>
    </row>
    <row r="414" spans="1:20" x14ac:dyDescent="0.2">
      <c r="A414">
        <v>413</v>
      </c>
      <c r="B414" t="s">
        <v>31</v>
      </c>
      <c r="C414" t="s">
        <v>14</v>
      </c>
      <c r="D414">
        <v>36</v>
      </c>
      <c r="E414" t="s">
        <v>45</v>
      </c>
      <c r="F414" t="s">
        <v>22</v>
      </c>
      <c r="G414">
        <v>476981</v>
      </c>
      <c r="H414" t="s">
        <v>464</v>
      </c>
      <c r="J414" t="s">
        <v>18</v>
      </c>
      <c r="K414">
        <v>1</v>
      </c>
      <c r="L414">
        <v>4</v>
      </c>
      <c r="M414">
        <v>73</v>
      </c>
      <c r="N414">
        <f>IF(Table1[[#This Row],[Employment_Status]]="Exited",1,0)</f>
        <v>0</v>
      </c>
      <c r="O414" t="str" cm="1">
        <f t="array" ref="O414">_xlfn.IFS(AND(Table1[[#This Row],[Age]]&gt;=22,Table1[[#This Row],[Age]]&lt;=35),"22-35",AND(Table1[[#This Row],[Age]]&gt;=36,Table1[[#This Row],[Age]]&lt;=45),"36-45",AND(Table1[[#This Row],[Age]]&gt;=46,Table1[[#This Row],[Age]]&lt;=55),"46-55")</f>
        <v>36-45</v>
      </c>
      <c r="P414">
        <f>IF(Table1[[#This Row],[Employment_Status]]="active",1,0)</f>
        <v>1</v>
      </c>
      <c r="Q414">
        <v>1</v>
      </c>
      <c r="R414" s="6">
        <f ca="1">YEARFRAC(Table1[[#This Row],[Hire_Date]],IF(Table1[[#This Row],[Employment_Status]]="Exited",Table1[[#This Row],[Exit_Date]],TODAY()))</f>
        <v>4.552777777777778</v>
      </c>
      <c r="S414" t="str" cm="1">
        <f t="array" aca="1" ref="S414" ca="1">_xlfn.IFS(AND(Table1[[#This Row],[Tenure]]&gt;=0,Table1[[#This Row],[Tenure]]&lt;=1),"0-1",AND(Table1[[#This Row],[Tenure]]&gt;1,Table1[[#This Row],[Tenure]]&lt;=3),"1-3",AND(Table1[[#This Row],[Tenure]]&gt;3,Table1[[#This Row],[Tenure]]&lt;=5),"3-5",AND(Table1[[#This Row],[Tenure]]&gt;5,Table1[[#This Row],[Tenure]]&lt;=8),"5-8")</f>
        <v>3-5</v>
      </c>
      <c r="T414" t="str" cm="1">
        <f t="array" ref="T414">_xlfn.IFS(AND(Table1[[#This Row],[Salary]]&gt;=180000, Table1[[#This Row],[Salary]] &lt;=500000),"Low (180k-500k)", AND(Table1[[#This Row],[Salary]]&gt;500000, Table1[[#This Row],[Salary]]&lt;=800000), "Medium (501k-800k)", AND(Table1[[#This Row],[Salary]]&gt;800000, Table1[[#This Row],[Salary]]&lt;1200000), "High (801k - 1.2m)")</f>
        <v>Low (180k-500k)</v>
      </c>
    </row>
    <row r="415" spans="1:20" x14ac:dyDescent="0.2">
      <c r="A415">
        <v>414</v>
      </c>
      <c r="B415" t="s">
        <v>29</v>
      </c>
      <c r="C415" t="s">
        <v>14</v>
      </c>
      <c r="D415">
        <v>51</v>
      </c>
      <c r="E415" t="s">
        <v>15</v>
      </c>
      <c r="F415" t="s">
        <v>34</v>
      </c>
      <c r="G415">
        <v>661639</v>
      </c>
      <c r="H415" t="s">
        <v>465</v>
      </c>
      <c r="I415" t="s">
        <v>466</v>
      </c>
      <c r="J415" t="s">
        <v>55</v>
      </c>
      <c r="K415">
        <v>2</v>
      </c>
      <c r="L415">
        <v>8</v>
      </c>
      <c r="M415">
        <v>98</v>
      </c>
      <c r="N415">
        <f>IF(Table1[[#This Row],[Employment_Status]]="Exited",1,0)</f>
        <v>1</v>
      </c>
      <c r="O415" t="str" cm="1">
        <f t="array" ref="O415">_xlfn.IFS(AND(Table1[[#This Row],[Age]]&gt;=22,Table1[[#This Row],[Age]]&lt;=35),"22-35",AND(Table1[[#This Row],[Age]]&gt;=36,Table1[[#This Row],[Age]]&lt;=45),"36-45",AND(Table1[[#This Row],[Age]]&gt;=46,Table1[[#This Row],[Age]]&lt;=55),"46-55")</f>
        <v>46-55</v>
      </c>
      <c r="P415">
        <f>IF(Table1[[#This Row],[Employment_Status]]="active",1,0)</f>
        <v>0</v>
      </c>
      <c r="Q415">
        <v>1</v>
      </c>
      <c r="R415" s="6">
        <f ca="1">YEARFRAC(Table1[[#This Row],[Hire_Date]],IF(Table1[[#This Row],[Employment_Status]]="Exited",Table1[[#This Row],[Exit_Date]],TODAY()))</f>
        <v>1.1138888888888889</v>
      </c>
      <c r="S415" t="str" cm="1">
        <f t="array" aca="1" ref="S415" ca="1">_xlfn.IFS(AND(Table1[[#This Row],[Tenure]]&gt;=0,Table1[[#This Row],[Tenure]]&lt;=1),"0-1",AND(Table1[[#This Row],[Tenure]]&gt;1,Table1[[#This Row],[Tenure]]&lt;=3),"1-3",AND(Table1[[#This Row],[Tenure]]&gt;3,Table1[[#This Row],[Tenure]]&lt;=5),"3-5",AND(Table1[[#This Row],[Tenure]]&gt;5,Table1[[#This Row],[Tenure]]&lt;=8),"5-8")</f>
        <v>1-3</v>
      </c>
      <c r="T415" t="str" cm="1">
        <f t="array" ref="T415">_xlfn.IFS(AND(Table1[[#This Row],[Salary]]&gt;=180000, Table1[[#This Row],[Salary]] &lt;=500000),"Low (180k-500k)", AND(Table1[[#This Row],[Salary]]&gt;500000, Table1[[#This Row],[Salary]]&lt;=800000), "Medium (501k-800k)", AND(Table1[[#This Row],[Salary]]&gt;800000, Table1[[#This Row],[Salary]]&lt;1200000), "High (801k - 1.2m)")</f>
        <v>Medium (501k-800k)</v>
      </c>
    </row>
    <row r="416" spans="1:20" x14ac:dyDescent="0.2">
      <c r="A416">
        <v>415</v>
      </c>
      <c r="B416" t="s">
        <v>58</v>
      </c>
      <c r="C416" t="s">
        <v>20</v>
      </c>
      <c r="D416">
        <v>47</v>
      </c>
      <c r="E416" t="s">
        <v>15</v>
      </c>
      <c r="F416" t="s">
        <v>34</v>
      </c>
      <c r="G416">
        <v>598611</v>
      </c>
      <c r="H416" t="s">
        <v>467</v>
      </c>
      <c r="J416" t="s">
        <v>18</v>
      </c>
      <c r="K416">
        <v>2</v>
      </c>
      <c r="L416">
        <v>29</v>
      </c>
      <c r="M416">
        <v>98</v>
      </c>
      <c r="N416">
        <f>IF(Table1[[#This Row],[Employment_Status]]="Exited",1,0)</f>
        <v>0</v>
      </c>
      <c r="O416" t="str" cm="1">
        <f t="array" ref="O416">_xlfn.IFS(AND(Table1[[#This Row],[Age]]&gt;=22,Table1[[#This Row],[Age]]&lt;=35),"22-35",AND(Table1[[#This Row],[Age]]&gt;=36,Table1[[#This Row],[Age]]&lt;=45),"36-45",AND(Table1[[#This Row],[Age]]&gt;=46,Table1[[#This Row],[Age]]&lt;=55),"46-55")</f>
        <v>46-55</v>
      </c>
      <c r="P416">
        <f>IF(Table1[[#This Row],[Employment_Status]]="active",1,0)</f>
        <v>1</v>
      </c>
      <c r="Q416">
        <v>1</v>
      </c>
      <c r="R416" s="6">
        <f ca="1">YEARFRAC(Table1[[#This Row],[Hire_Date]],IF(Table1[[#This Row],[Employment_Status]]="Exited",Table1[[#This Row],[Exit_Date]],TODAY()))</f>
        <v>3.0138888888888888</v>
      </c>
      <c r="S416" t="str" cm="1">
        <f t="array" aca="1" ref="S416" ca="1">_xlfn.IFS(AND(Table1[[#This Row],[Tenure]]&gt;=0,Table1[[#This Row],[Tenure]]&lt;=1),"0-1",AND(Table1[[#This Row],[Tenure]]&gt;1,Table1[[#This Row],[Tenure]]&lt;=3),"1-3",AND(Table1[[#This Row],[Tenure]]&gt;3,Table1[[#This Row],[Tenure]]&lt;=5),"3-5",AND(Table1[[#This Row],[Tenure]]&gt;5,Table1[[#This Row],[Tenure]]&lt;=8),"5-8")</f>
        <v>3-5</v>
      </c>
      <c r="T416" t="str" cm="1">
        <f t="array" ref="T416">_xlfn.IFS(AND(Table1[[#This Row],[Salary]]&gt;=180000, Table1[[#This Row],[Salary]] &lt;=500000),"Low (180k-500k)", AND(Table1[[#This Row],[Salary]]&gt;500000, Table1[[#This Row],[Salary]]&lt;=800000), "Medium (501k-800k)", AND(Table1[[#This Row],[Salary]]&gt;800000, Table1[[#This Row],[Salary]]&lt;1200000), "High (801k - 1.2m)")</f>
        <v>Medium (501k-800k)</v>
      </c>
    </row>
    <row r="417" spans="1:20" x14ac:dyDescent="0.2">
      <c r="A417">
        <v>416</v>
      </c>
      <c r="B417" t="s">
        <v>13</v>
      </c>
      <c r="C417" t="s">
        <v>20</v>
      </c>
      <c r="D417">
        <v>47</v>
      </c>
      <c r="E417" t="s">
        <v>49</v>
      </c>
      <c r="F417" t="s">
        <v>22</v>
      </c>
      <c r="G417">
        <v>481825</v>
      </c>
      <c r="H417" t="s">
        <v>468</v>
      </c>
      <c r="J417" t="s">
        <v>18</v>
      </c>
      <c r="K417">
        <v>1</v>
      </c>
      <c r="L417">
        <v>11</v>
      </c>
      <c r="M417">
        <v>83</v>
      </c>
      <c r="N417">
        <f>IF(Table1[[#This Row],[Employment_Status]]="Exited",1,0)</f>
        <v>0</v>
      </c>
      <c r="O417" t="str" cm="1">
        <f t="array" ref="O417">_xlfn.IFS(AND(Table1[[#This Row],[Age]]&gt;=22,Table1[[#This Row],[Age]]&lt;=35),"22-35",AND(Table1[[#This Row],[Age]]&gt;=36,Table1[[#This Row],[Age]]&lt;=45),"36-45",AND(Table1[[#This Row],[Age]]&gt;=46,Table1[[#This Row],[Age]]&lt;=55),"46-55")</f>
        <v>46-55</v>
      </c>
      <c r="P417">
        <f>IF(Table1[[#This Row],[Employment_Status]]="active",1,0)</f>
        <v>1</v>
      </c>
      <c r="Q417">
        <v>1</v>
      </c>
      <c r="R417" s="6">
        <f ca="1">YEARFRAC(Table1[[#This Row],[Hire_Date]],IF(Table1[[#This Row],[Employment_Status]]="Exited",Table1[[#This Row],[Exit_Date]],TODAY()))</f>
        <v>4.802777777777778</v>
      </c>
      <c r="S417" t="str" cm="1">
        <f t="array" aca="1" ref="S417" ca="1">_xlfn.IFS(AND(Table1[[#This Row],[Tenure]]&gt;=0,Table1[[#This Row],[Tenure]]&lt;=1),"0-1",AND(Table1[[#This Row],[Tenure]]&gt;1,Table1[[#This Row],[Tenure]]&lt;=3),"1-3",AND(Table1[[#This Row],[Tenure]]&gt;3,Table1[[#This Row],[Tenure]]&lt;=5),"3-5",AND(Table1[[#This Row],[Tenure]]&gt;5,Table1[[#This Row],[Tenure]]&lt;=8),"5-8")</f>
        <v>3-5</v>
      </c>
      <c r="T417" t="str" cm="1">
        <f t="array" ref="T417">_xlfn.IFS(AND(Table1[[#This Row],[Salary]]&gt;=180000, Table1[[#This Row],[Salary]] &lt;=500000),"Low (180k-500k)", AND(Table1[[#This Row],[Salary]]&gt;500000, Table1[[#This Row],[Salary]]&lt;=800000), "Medium (501k-800k)", AND(Table1[[#This Row],[Salary]]&gt;800000, Table1[[#This Row],[Salary]]&lt;1200000), "High (801k - 1.2m)")</f>
        <v>Low (180k-500k)</v>
      </c>
    </row>
    <row r="418" spans="1:20" x14ac:dyDescent="0.2">
      <c r="A418">
        <v>417</v>
      </c>
      <c r="B418" t="s">
        <v>24</v>
      </c>
      <c r="C418" t="s">
        <v>20</v>
      </c>
      <c r="D418">
        <v>27</v>
      </c>
      <c r="E418" t="s">
        <v>21</v>
      </c>
      <c r="F418" t="s">
        <v>34</v>
      </c>
      <c r="G418">
        <v>279420</v>
      </c>
      <c r="H418" t="s">
        <v>335</v>
      </c>
      <c r="J418" t="s">
        <v>18</v>
      </c>
      <c r="K418">
        <v>2</v>
      </c>
      <c r="L418">
        <v>19</v>
      </c>
      <c r="M418">
        <v>76</v>
      </c>
      <c r="N418">
        <f>IF(Table1[[#This Row],[Employment_Status]]="Exited",1,0)</f>
        <v>0</v>
      </c>
      <c r="O418" t="str" cm="1">
        <f t="array" ref="O418">_xlfn.IFS(AND(Table1[[#This Row],[Age]]&gt;=22,Table1[[#This Row],[Age]]&lt;=35),"22-35",AND(Table1[[#This Row],[Age]]&gt;=36,Table1[[#This Row],[Age]]&lt;=45),"36-45",AND(Table1[[#This Row],[Age]]&gt;=46,Table1[[#This Row],[Age]]&lt;=55),"46-55")</f>
        <v>22-35</v>
      </c>
      <c r="P418">
        <f>IF(Table1[[#This Row],[Employment_Status]]="active",1,0)</f>
        <v>1</v>
      </c>
      <c r="Q418">
        <v>1</v>
      </c>
      <c r="R418" s="6">
        <f ca="1">YEARFRAC(Table1[[#This Row],[Hire_Date]],IF(Table1[[#This Row],[Employment_Status]]="Exited",Table1[[#This Row],[Exit_Date]],TODAY()))</f>
        <v>6.5611111111111109</v>
      </c>
      <c r="S418" t="str" cm="1">
        <f t="array" aca="1" ref="S418" ca="1">_xlfn.IFS(AND(Table1[[#This Row],[Tenure]]&gt;=0,Table1[[#This Row],[Tenure]]&lt;=1),"0-1",AND(Table1[[#This Row],[Tenure]]&gt;1,Table1[[#This Row],[Tenure]]&lt;=3),"1-3",AND(Table1[[#This Row],[Tenure]]&gt;3,Table1[[#This Row],[Tenure]]&lt;=5),"3-5",AND(Table1[[#This Row],[Tenure]]&gt;5,Table1[[#This Row],[Tenure]]&lt;=8),"5-8")</f>
        <v>5-8</v>
      </c>
      <c r="T418" t="str" cm="1">
        <f t="array" ref="T418">_xlfn.IFS(AND(Table1[[#This Row],[Salary]]&gt;=180000, Table1[[#This Row],[Salary]] &lt;=500000),"Low (180k-500k)", AND(Table1[[#This Row],[Salary]]&gt;500000, Table1[[#This Row],[Salary]]&lt;=800000), "Medium (501k-800k)", AND(Table1[[#This Row],[Salary]]&gt;800000, Table1[[#This Row],[Salary]]&lt;1200000), "High (801k - 1.2m)")</f>
        <v>Low (180k-500k)</v>
      </c>
    </row>
    <row r="419" spans="1:20" x14ac:dyDescent="0.2">
      <c r="A419">
        <v>418</v>
      </c>
      <c r="B419" t="s">
        <v>33</v>
      </c>
      <c r="C419" t="s">
        <v>14</v>
      </c>
      <c r="D419">
        <v>42</v>
      </c>
      <c r="E419" t="s">
        <v>15</v>
      </c>
      <c r="F419" t="s">
        <v>34</v>
      </c>
      <c r="G419">
        <v>931118</v>
      </c>
      <c r="H419" t="s">
        <v>469</v>
      </c>
      <c r="J419" t="s">
        <v>18</v>
      </c>
      <c r="K419">
        <v>4</v>
      </c>
      <c r="L419">
        <v>21</v>
      </c>
      <c r="M419">
        <v>96</v>
      </c>
      <c r="N419">
        <f>IF(Table1[[#This Row],[Employment_Status]]="Exited",1,0)</f>
        <v>0</v>
      </c>
      <c r="O419" t="str" cm="1">
        <f t="array" ref="O419">_xlfn.IFS(AND(Table1[[#This Row],[Age]]&gt;=22,Table1[[#This Row],[Age]]&lt;=35),"22-35",AND(Table1[[#This Row],[Age]]&gt;=36,Table1[[#This Row],[Age]]&lt;=45),"36-45",AND(Table1[[#This Row],[Age]]&gt;=46,Table1[[#This Row],[Age]]&lt;=55),"46-55")</f>
        <v>36-45</v>
      </c>
      <c r="P419">
        <f>IF(Table1[[#This Row],[Employment_Status]]="active",1,0)</f>
        <v>1</v>
      </c>
      <c r="Q419">
        <v>1</v>
      </c>
      <c r="R419" s="6">
        <f ca="1">YEARFRAC(Table1[[#This Row],[Hire_Date]],IF(Table1[[#This Row],[Employment_Status]]="Exited",Table1[[#This Row],[Exit_Date]],TODAY()))</f>
        <v>3.1138888888888889</v>
      </c>
      <c r="S419" t="str" cm="1">
        <f t="array" aca="1" ref="S419" ca="1">_xlfn.IFS(AND(Table1[[#This Row],[Tenure]]&gt;=0,Table1[[#This Row],[Tenure]]&lt;=1),"0-1",AND(Table1[[#This Row],[Tenure]]&gt;1,Table1[[#This Row],[Tenure]]&lt;=3),"1-3",AND(Table1[[#This Row],[Tenure]]&gt;3,Table1[[#This Row],[Tenure]]&lt;=5),"3-5",AND(Table1[[#This Row],[Tenure]]&gt;5,Table1[[#This Row],[Tenure]]&lt;=8),"5-8")</f>
        <v>3-5</v>
      </c>
      <c r="T419" t="str" cm="1">
        <f t="array" ref="T419">_xlfn.IFS(AND(Table1[[#This Row],[Salary]]&gt;=180000, Table1[[#This Row],[Salary]] &lt;=500000),"Low (180k-500k)", AND(Table1[[#This Row],[Salary]]&gt;500000, Table1[[#This Row],[Salary]]&lt;=800000), "Medium (501k-800k)", AND(Table1[[#This Row],[Salary]]&gt;800000, Table1[[#This Row],[Salary]]&lt;1200000), "High (801k - 1.2m)")</f>
        <v>High (801k - 1.2m)</v>
      </c>
    </row>
    <row r="420" spans="1:20" x14ac:dyDescent="0.2">
      <c r="A420">
        <v>419</v>
      </c>
      <c r="B420" t="s">
        <v>19</v>
      </c>
      <c r="C420" t="s">
        <v>14</v>
      </c>
      <c r="D420">
        <v>41</v>
      </c>
      <c r="E420" t="s">
        <v>15</v>
      </c>
      <c r="F420" t="s">
        <v>22</v>
      </c>
      <c r="G420">
        <v>557171</v>
      </c>
      <c r="H420" t="s">
        <v>470</v>
      </c>
      <c r="J420" t="s">
        <v>18</v>
      </c>
      <c r="K420">
        <v>1</v>
      </c>
      <c r="L420">
        <v>15</v>
      </c>
      <c r="M420">
        <v>74</v>
      </c>
      <c r="N420">
        <f>IF(Table1[[#This Row],[Employment_Status]]="Exited",1,0)</f>
        <v>0</v>
      </c>
      <c r="O420" t="str" cm="1">
        <f t="array" ref="O420">_xlfn.IFS(AND(Table1[[#This Row],[Age]]&gt;=22,Table1[[#This Row],[Age]]&lt;=35),"22-35",AND(Table1[[#This Row],[Age]]&gt;=36,Table1[[#This Row],[Age]]&lt;=45),"36-45",AND(Table1[[#This Row],[Age]]&gt;=46,Table1[[#This Row],[Age]]&lt;=55),"46-55")</f>
        <v>36-45</v>
      </c>
      <c r="P420">
        <f>IF(Table1[[#This Row],[Employment_Status]]="active",1,0)</f>
        <v>1</v>
      </c>
      <c r="Q420">
        <v>1</v>
      </c>
      <c r="R420" s="6">
        <f ca="1">YEARFRAC(Table1[[#This Row],[Hire_Date]],IF(Table1[[#This Row],[Employment_Status]]="Exited",Table1[[#This Row],[Exit_Date]],TODAY()))</f>
        <v>4.1694444444444443</v>
      </c>
      <c r="S420" t="str" cm="1">
        <f t="array" aca="1" ref="S420" ca="1">_xlfn.IFS(AND(Table1[[#This Row],[Tenure]]&gt;=0,Table1[[#This Row],[Tenure]]&lt;=1),"0-1",AND(Table1[[#This Row],[Tenure]]&gt;1,Table1[[#This Row],[Tenure]]&lt;=3),"1-3",AND(Table1[[#This Row],[Tenure]]&gt;3,Table1[[#This Row],[Tenure]]&lt;=5),"3-5",AND(Table1[[#This Row],[Tenure]]&gt;5,Table1[[#This Row],[Tenure]]&lt;=8),"5-8")</f>
        <v>3-5</v>
      </c>
      <c r="T420" t="str" cm="1">
        <f t="array" ref="T420">_xlfn.IFS(AND(Table1[[#This Row],[Salary]]&gt;=180000, Table1[[#This Row],[Salary]] &lt;=500000),"Low (180k-500k)", AND(Table1[[#This Row],[Salary]]&gt;500000, Table1[[#This Row],[Salary]]&lt;=800000), "Medium (501k-800k)", AND(Table1[[#This Row],[Salary]]&gt;800000, Table1[[#This Row],[Salary]]&lt;1200000), "High (801k - 1.2m)")</f>
        <v>Medium (501k-800k)</v>
      </c>
    </row>
    <row r="421" spans="1:20" x14ac:dyDescent="0.2">
      <c r="A421">
        <v>420</v>
      </c>
      <c r="B421" t="s">
        <v>13</v>
      </c>
      <c r="C421" t="s">
        <v>14</v>
      </c>
      <c r="D421">
        <v>47</v>
      </c>
      <c r="E421" t="s">
        <v>15</v>
      </c>
      <c r="F421" t="s">
        <v>16</v>
      </c>
      <c r="G421">
        <v>446018</v>
      </c>
      <c r="H421" t="s">
        <v>471</v>
      </c>
      <c r="J421" t="s">
        <v>18</v>
      </c>
      <c r="K421">
        <v>3</v>
      </c>
      <c r="L421">
        <v>6</v>
      </c>
      <c r="M421">
        <v>80</v>
      </c>
      <c r="N421">
        <f>IF(Table1[[#This Row],[Employment_Status]]="Exited",1,0)</f>
        <v>0</v>
      </c>
      <c r="O421" t="str" cm="1">
        <f t="array" ref="O421">_xlfn.IFS(AND(Table1[[#This Row],[Age]]&gt;=22,Table1[[#This Row],[Age]]&lt;=35),"22-35",AND(Table1[[#This Row],[Age]]&gt;=36,Table1[[#This Row],[Age]]&lt;=45),"36-45",AND(Table1[[#This Row],[Age]]&gt;=46,Table1[[#This Row],[Age]]&lt;=55),"46-55")</f>
        <v>46-55</v>
      </c>
      <c r="P421">
        <f>IF(Table1[[#This Row],[Employment_Status]]="active",1,0)</f>
        <v>1</v>
      </c>
      <c r="Q421">
        <v>1</v>
      </c>
      <c r="R421" s="6">
        <f ca="1">YEARFRAC(Table1[[#This Row],[Hire_Date]],IF(Table1[[#This Row],[Employment_Status]]="Exited",Table1[[#This Row],[Exit_Date]],TODAY()))</f>
        <v>5.8805555555555555</v>
      </c>
      <c r="S421" t="str" cm="1">
        <f t="array" aca="1" ref="S421" ca="1">_xlfn.IFS(AND(Table1[[#This Row],[Tenure]]&gt;=0,Table1[[#This Row],[Tenure]]&lt;=1),"0-1",AND(Table1[[#This Row],[Tenure]]&gt;1,Table1[[#This Row],[Tenure]]&lt;=3),"1-3",AND(Table1[[#This Row],[Tenure]]&gt;3,Table1[[#This Row],[Tenure]]&lt;=5),"3-5",AND(Table1[[#This Row],[Tenure]]&gt;5,Table1[[#This Row],[Tenure]]&lt;=8),"5-8")</f>
        <v>5-8</v>
      </c>
      <c r="T421" t="str" cm="1">
        <f t="array" ref="T421">_xlfn.IFS(AND(Table1[[#This Row],[Salary]]&gt;=180000, Table1[[#This Row],[Salary]] &lt;=500000),"Low (180k-500k)", AND(Table1[[#This Row],[Salary]]&gt;500000, Table1[[#This Row],[Salary]]&lt;=800000), "Medium (501k-800k)", AND(Table1[[#This Row],[Salary]]&gt;800000, Table1[[#This Row],[Salary]]&lt;1200000), "High (801k - 1.2m)")</f>
        <v>Low (180k-500k)</v>
      </c>
    </row>
    <row r="422" spans="1:20" x14ac:dyDescent="0.2">
      <c r="A422">
        <v>421</v>
      </c>
      <c r="B422" t="s">
        <v>24</v>
      </c>
      <c r="C422" t="s">
        <v>14</v>
      </c>
      <c r="D422">
        <v>33</v>
      </c>
      <c r="E422" t="s">
        <v>15</v>
      </c>
      <c r="F422" t="s">
        <v>34</v>
      </c>
      <c r="G422">
        <v>1186671</v>
      </c>
      <c r="H422" t="s">
        <v>291</v>
      </c>
      <c r="I422" t="s">
        <v>472</v>
      </c>
      <c r="J422" t="s">
        <v>55</v>
      </c>
      <c r="K422">
        <v>2</v>
      </c>
      <c r="L422">
        <v>25</v>
      </c>
      <c r="M422">
        <v>99</v>
      </c>
      <c r="N422">
        <f>IF(Table1[[#This Row],[Employment_Status]]="Exited",1,0)</f>
        <v>1</v>
      </c>
      <c r="O422" t="str" cm="1">
        <f t="array" ref="O422">_xlfn.IFS(AND(Table1[[#This Row],[Age]]&gt;=22,Table1[[#This Row],[Age]]&lt;=35),"22-35",AND(Table1[[#This Row],[Age]]&gt;=36,Table1[[#This Row],[Age]]&lt;=45),"36-45",AND(Table1[[#This Row],[Age]]&gt;=46,Table1[[#This Row],[Age]]&lt;=55),"46-55")</f>
        <v>22-35</v>
      </c>
      <c r="P422">
        <f>IF(Table1[[#This Row],[Employment_Status]]="active",1,0)</f>
        <v>0</v>
      </c>
      <c r="Q422">
        <v>1</v>
      </c>
      <c r="R422" s="6">
        <f ca="1">YEARFRAC(Table1[[#This Row],[Hire_Date]],IF(Table1[[#This Row],[Employment_Status]]="Exited",Table1[[#This Row],[Exit_Date]],TODAY()))</f>
        <v>1.6861111111111111</v>
      </c>
      <c r="S422" t="str" cm="1">
        <f t="array" aca="1" ref="S422" ca="1">_xlfn.IFS(AND(Table1[[#This Row],[Tenure]]&gt;=0,Table1[[#This Row],[Tenure]]&lt;=1),"0-1",AND(Table1[[#This Row],[Tenure]]&gt;1,Table1[[#This Row],[Tenure]]&lt;=3),"1-3",AND(Table1[[#This Row],[Tenure]]&gt;3,Table1[[#This Row],[Tenure]]&lt;=5),"3-5",AND(Table1[[#This Row],[Tenure]]&gt;5,Table1[[#This Row],[Tenure]]&lt;=8),"5-8")</f>
        <v>1-3</v>
      </c>
      <c r="T422" t="str" cm="1">
        <f t="array" ref="T422">_xlfn.IFS(AND(Table1[[#This Row],[Salary]]&gt;=180000, Table1[[#This Row],[Salary]] &lt;=500000),"Low (180k-500k)", AND(Table1[[#This Row],[Salary]]&gt;500000, Table1[[#This Row],[Salary]]&lt;=800000), "Medium (501k-800k)", AND(Table1[[#This Row],[Salary]]&gt;800000, Table1[[#This Row],[Salary]]&lt;1200000), "High (801k - 1.2m)")</f>
        <v>High (801k - 1.2m)</v>
      </c>
    </row>
    <row r="423" spans="1:20" x14ac:dyDescent="0.2">
      <c r="A423">
        <v>422</v>
      </c>
      <c r="B423" t="s">
        <v>47</v>
      </c>
      <c r="C423" t="s">
        <v>20</v>
      </c>
      <c r="D423">
        <v>30</v>
      </c>
      <c r="E423" t="s">
        <v>45</v>
      </c>
      <c r="F423" t="s">
        <v>22</v>
      </c>
      <c r="G423">
        <v>598479</v>
      </c>
      <c r="H423" t="s">
        <v>354</v>
      </c>
      <c r="J423" t="s">
        <v>18</v>
      </c>
      <c r="K423">
        <v>4</v>
      </c>
      <c r="L423">
        <v>37</v>
      </c>
      <c r="M423">
        <v>88</v>
      </c>
      <c r="N423">
        <f>IF(Table1[[#This Row],[Employment_Status]]="Exited",1,0)</f>
        <v>0</v>
      </c>
      <c r="O423" t="str" cm="1">
        <f t="array" ref="O423">_xlfn.IFS(AND(Table1[[#This Row],[Age]]&gt;=22,Table1[[#This Row],[Age]]&lt;=35),"22-35",AND(Table1[[#This Row],[Age]]&gt;=36,Table1[[#This Row],[Age]]&lt;=45),"36-45",AND(Table1[[#This Row],[Age]]&gt;=46,Table1[[#This Row],[Age]]&lt;=55),"46-55")</f>
        <v>22-35</v>
      </c>
      <c r="P423">
        <f>IF(Table1[[#This Row],[Employment_Status]]="active",1,0)</f>
        <v>1</v>
      </c>
      <c r="Q423">
        <v>1</v>
      </c>
      <c r="R423" s="6">
        <f ca="1">YEARFRAC(Table1[[#This Row],[Hire_Date]],IF(Table1[[#This Row],[Employment_Status]]="Exited",Table1[[#This Row],[Exit_Date]],TODAY()))</f>
        <v>7.2555555555555555</v>
      </c>
      <c r="S423" t="str" cm="1">
        <f t="array" aca="1" ref="S423" ca="1">_xlfn.IFS(AND(Table1[[#This Row],[Tenure]]&gt;=0,Table1[[#This Row],[Tenure]]&lt;=1),"0-1",AND(Table1[[#This Row],[Tenure]]&gt;1,Table1[[#This Row],[Tenure]]&lt;=3),"1-3",AND(Table1[[#This Row],[Tenure]]&gt;3,Table1[[#This Row],[Tenure]]&lt;=5),"3-5",AND(Table1[[#This Row],[Tenure]]&gt;5,Table1[[#This Row],[Tenure]]&lt;=8),"5-8")</f>
        <v>5-8</v>
      </c>
      <c r="T423" t="str" cm="1">
        <f t="array" ref="T423">_xlfn.IFS(AND(Table1[[#This Row],[Salary]]&gt;=180000, Table1[[#This Row],[Salary]] &lt;=500000),"Low (180k-500k)", AND(Table1[[#This Row],[Salary]]&gt;500000, Table1[[#This Row],[Salary]]&lt;=800000), "Medium (501k-800k)", AND(Table1[[#This Row],[Salary]]&gt;800000, Table1[[#This Row],[Salary]]&lt;1200000), "High (801k - 1.2m)")</f>
        <v>Medium (501k-800k)</v>
      </c>
    </row>
    <row r="424" spans="1:20" x14ac:dyDescent="0.2">
      <c r="A424">
        <v>423</v>
      </c>
      <c r="B424" t="s">
        <v>58</v>
      </c>
      <c r="C424" t="s">
        <v>20</v>
      </c>
      <c r="D424">
        <v>37</v>
      </c>
      <c r="E424" t="s">
        <v>15</v>
      </c>
      <c r="F424" t="s">
        <v>16</v>
      </c>
      <c r="G424">
        <v>604882</v>
      </c>
      <c r="H424" t="s">
        <v>473</v>
      </c>
      <c r="J424" t="s">
        <v>18</v>
      </c>
      <c r="K424">
        <v>4</v>
      </c>
      <c r="L424">
        <v>0</v>
      </c>
      <c r="M424">
        <v>74</v>
      </c>
      <c r="N424">
        <f>IF(Table1[[#This Row],[Employment_Status]]="Exited",1,0)</f>
        <v>0</v>
      </c>
      <c r="O424" t="str" cm="1">
        <f t="array" ref="O424">_xlfn.IFS(AND(Table1[[#This Row],[Age]]&gt;=22,Table1[[#This Row],[Age]]&lt;=35),"22-35",AND(Table1[[#This Row],[Age]]&gt;=36,Table1[[#This Row],[Age]]&lt;=45),"36-45",AND(Table1[[#This Row],[Age]]&gt;=46,Table1[[#This Row],[Age]]&lt;=55),"46-55")</f>
        <v>36-45</v>
      </c>
      <c r="P424">
        <f>IF(Table1[[#This Row],[Employment_Status]]="active",1,0)</f>
        <v>1</v>
      </c>
      <c r="Q424">
        <v>1</v>
      </c>
      <c r="R424" s="6">
        <f ca="1">YEARFRAC(Table1[[#This Row],[Hire_Date]],IF(Table1[[#This Row],[Employment_Status]]="Exited",Table1[[#This Row],[Exit_Date]],TODAY()))</f>
        <v>5.5305555555555559</v>
      </c>
      <c r="S424" t="str" cm="1">
        <f t="array" aca="1" ref="S424" ca="1">_xlfn.IFS(AND(Table1[[#This Row],[Tenure]]&gt;=0,Table1[[#This Row],[Tenure]]&lt;=1),"0-1",AND(Table1[[#This Row],[Tenure]]&gt;1,Table1[[#This Row],[Tenure]]&lt;=3),"1-3",AND(Table1[[#This Row],[Tenure]]&gt;3,Table1[[#This Row],[Tenure]]&lt;=5),"3-5",AND(Table1[[#This Row],[Tenure]]&gt;5,Table1[[#This Row],[Tenure]]&lt;=8),"5-8")</f>
        <v>5-8</v>
      </c>
      <c r="T424" t="str" cm="1">
        <f t="array" ref="T424">_xlfn.IFS(AND(Table1[[#This Row],[Salary]]&gt;=180000, Table1[[#This Row],[Salary]] &lt;=500000),"Low (180k-500k)", AND(Table1[[#This Row],[Salary]]&gt;500000, Table1[[#This Row],[Salary]]&lt;=800000), "Medium (501k-800k)", AND(Table1[[#This Row],[Salary]]&gt;800000, Table1[[#This Row],[Salary]]&lt;1200000), "High (801k - 1.2m)")</f>
        <v>Medium (501k-800k)</v>
      </c>
    </row>
    <row r="425" spans="1:20" x14ac:dyDescent="0.2">
      <c r="A425">
        <v>424</v>
      </c>
      <c r="B425" t="s">
        <v>47</v>
      </c>
      <c r="C425" t="s">
        <v>14</v>
      </c>
      <c r="D425">
        <v>52</v>
      </c>
      <c r="E425" t="s">
        <v>21</v>
      </c>
      <c r="F425" t="s">
        <v>27</v>
      </c>
      <c r="G425">
        <v>548876</v>
      </c>
      <c r="H425" t="s">
        <v>209</v>
      </c>
      <c r="J425" t="s">
        <v>18</v>
      </c>
      <c r="K425">
        <v>4</v>
      </c>
      <c r="L425">
        <v>35</v>
      </c>
      <c r="M425">
        <v>93</v>
      </c>
      <c r="N425">
        <f>IF(Table1[[#This Row],[Employment_Status]]="Exited",1,0)</f>
        <v>0</v>
      </c>
      <c r="O425" t="str" cm="1">
        <f t="array" ref="O425">_xlfn.IFS(AND(Table1[[#This Row],[Age]]&gt;=22,Table1[[#This Row],[Age]]&lt;=35),"22-35",AND(Table1[[#This Row],[Age]]&gt;=36,Table1[[#This Row],[Age]]&lt;=45),"36-45",AND(Table1[[#This Row],[Age]]&gt;=46,Table1[[#This Row],[Age]]&lt;=55),"46-55")</f>
        <v>46-55</v>
      </c>
      <c r="P425">
        <f>IF(Table1[[#This Row],[Employment_Status]]="active",1,0)</f>
        <v>1</v>
      </c>
      <c r="Q425">
        <v>1</v>
      </c>
      <c r="R425" s="6">
        <f ca="1">YEARFRAC(Table1[[#This Row],[Hire_Date]],IF(Table1[[#This Row],[Employment_Status]]="Exited",Table1[[#This Row],[Exit_Date]],TODAY()))</f>
        <v>6.1444444444444448</v>
      </c>
      <c r="S425" t="str" cm="1">
        <f t="array" aca="1" ref="S425" ca="1">_xlfn.IFS(AND(Table1[[#This Row],[Tenure]]&gt;=0,Table1[[#This Row],[Tenure]]&lt;=1),"0-1",AND(Table1[[#This Row],[Tenure]]&gt;1,Table1[[#This Row],[Tenure]]&lt;=3),"1-3",AND(Table1[[#This Row],[Tenure]]&gt;3,Table1[[#This Row],[Tenure]]&lt;=5),"3-5",AND(Table1[[#This Row],[Tenure]]&gt;5,Table1[[#This Row],[Tenure]]&lt;=8),"5-8")</f>
        <v>5-8</v>
      </c>
      <c r="T425" t="str" cm="1">
        <f t="array" ref="T425">_xlfn.IFS(AND(Table1[[#This Row],[Salary]]&gt;=180000, Table1[[#This Row],[Salary]] &lt;=500000),"Low (180k-500k)", AND(Table1[[#This Row],[Salary]]&gt;500000, Table1[[#This Row],[Salary]]&lt;=800000), "Medium (501k-800k)", AND(Table1[[#This Row],[Salary]]&gt;800000, Table1[[#This Row],[Salary]]&lt;1200000), "High (801k - 1.2m)")</f>
        <v>Medium (501k-800k)</v>
      </c>
    </row>
    <row r="426" spans="1:20" x14ac:dyDescent="0.2">
      <c r="A426">
        <v>425</v>
      </c>
      <c r="B426" t="s">
        <v>33</v>
      </c>
      <c r="C426" t="s">
        <v>14</v>
      </c>
      <c r="D426">
        <v>29</v>
      </c>
      <c r="E426" t="s">
        <v>15</v>
      </c>
      <c r="F426" t="s">
        <v>27</v>
      </c>
      <c r="G426">
        <v>966465</v>
      </c>
      <c r="H426" t="s">
        <v>154</v>
      </c>
      <c r="J426" t="s">
        <v>18</v>
      </c>
      <c r="K426">
        <v>4</v>
      </c>
      <c r="L426">
        <v>40</v>
      </c>
      <c r="M426">
        <v>78</v>
      </c>
      <c r="N426">
        <f>IF(Table1[[#This Row],[Employment_Status]]="Exited",1,0)</f>
        <v>0</v>
      </c>
      <c r="O426" t="str" cm="1">
        <f t="array" ref="O426">_xlfn.IFS(AND(Table1[[#This Row],[Age]]&gt;=22,Table1[[#This Row],[Age]]&lt;=35),"22-35",AND(Table1[[#This Row],[Age]]&gt;=36,Table1[[#This Row],[Age]]&lt;=45),"36-45",AND(Table1[[#This Row],[Age]]&gt;=46,Table1[[#This Row],[Age]]&lt;=55),"46-55")</f>
        <v>22-35</v>
      </c>
      <c r="P426">
        <f>IF(Table1[[#This Row],[Employment_Status]]="active",1,0)</f>
        <v>1</v>
      </c>
      <c r="Q426">
        <v>1</v>
      </c>
      <c r="R426" s="6">
        <f ca="1">YEARFRAC(Table1[[#This Row],[Hire_Date]],IF(Table1[[#This Row],[Employment_Status]]="Exited",Table1[[#This Row],[Exit_Date]],TODAY()))</f>
        <v>6.4944444444444445</v>
      </c>
      <c r="S426" t="str" cm="1">
        <f t="array" aca="1" ref="S426" ca="1">_xlfn.IFS(AND(Table1[[#This Row],[Tenure]]&gt;=0,Table1[[#This Row],[Tenure]]&lt;=1),"0-1",AND(Table1[[#This Row],[Tenure]]&gt;1,Table1[[#This Row],[Tenure]]&lt;=3),"1-3",AND(Table1[[#This Row],[Tenure]]&gt;3,Table1[[#This Row],[Tenure]]&lt;=5),"3-5",AND(Table1[[#This Row],[Tenure]]&gt;5,Table1[[#This Row],[Tenure]]&lt;=8),"5-8")</f>
        <v>5-8</v>
      </c>
      <c r="T426" t="str" cm="1">
        <f t="array" ref="T426">_xlfn.IFS(AND(Table1[[#This Row],[Salary]]&gt;=180000, Table1[[#This Row],[Salary]] &lt;=500000),"Low (180k-500k)", AND(Table1[[#This Row],[Salary]]&gt;500000, Table1[[#This Row],[Salary]]&lt;=800000), "Medium (501k-800k)", AND(Table1[[#This Row],[Salary]]&gt;800000, Table1[[#This Row],[Salary]]&lt;1200000), "High (801k - 1.2m)")</f>
        <v>High (801k - 1.2m)</v>
      </c>
    </row>
    <row r="427" spans="1:20" x14ac:dyDescent="0.2">
      <c r="A427">
        <v>426</v>
      </c>
      <c r="B427" t="s">
        <v>26</v>
      </c>
      <c r="C427" t="s">
        <v>20</v>
      </c>
      <c r="D427">
        <v>37</v>
      </c>
      <c r="E427" t="s">
        <v>15</v>
      </c>
      <c r="F427" t="s">
        <v>27</v>
      </c>
      <c r="G427">
        <v>662258</v>
      </c>
      <c r="H427" t="s">
        <v>474</v>
      </c>
      <c r="J427" t="s">
        <v>18</v>
      </c>
      <c r="K427">
        <v>5</v>
      </c>
      <c r="L427">
        <v>47</v>
      </c>
      <c r="M427">
        <v>83</v>
      </c>
      <c r="N427">
        <f>IF(Table1[[#This Row],[Employment_Status]]="Exited",1,0)</f>
        <v>0</v>
      </c>
      <c r="O427" t="str" cm="1">
        <f t="array" ref="O427">_xlfn.IFS(AND(Table1[[#This Row],[Age]]&gt;=22,Table1[[#This Row],[Age]]&lt;=35),"22-35",AND(Table1[[#This Row],[Age]]&gt;=36,Table1[[#This Row],[Age]]&lt;=45),"36-45",AND(Table1[[#This Row],[Age]]&gt;=46,Table1[[#This Row],[Age]]&lt;=55),"46-55")</f>
        <v>36-45</v>
      </c>
      <c r="P427">
        <f>IF(Table1[[#This Row],[Employment_Status]]="active",1,0)</f>
        <v>1</v>
      </c>
      <c r="Q427">
        <v>1</v>
      </c>
      <c r="R427" s="6">
        <f ca="1">YEARFRAC(Table1[[#This Row],[Hire_Date]],IF(Table1[[#This Row],[Employment_Status]]="Exited",Table1[[#This Row],[Exit_Date]],TODAY()))</f>
        <v>4.7222222222222223</v>
      </c>
      <c r="S427" t="str" cm="1">
        <f t="array" aca="1" ref="S427" ca="1">_xlfn.IFS(AND(Table1[[#This Row],[Tenure]]&gt;=0,Table1[[#This Row],[Tenure]]&lt;=1),"0-1",AND(Table1[[#This Row],[Tenure]]&gt;1,Table1[[#This Row],[Tenure]]&lt;=3),"1-3",AND(Table1[[#This Row],[Tenure]]&gt;3,Table1[[#This Row],[Tenure]]&lt;=5),"3-5",AND(Table1[[#This Row],[Tenure]]&gt;5,Table1[[#This Row],[Tenure]]&lt;=8),"5-8")</f>
        <v>3-5</v>
      </c>
      <c r="T427" t="str" cm="1">
        <f t="array" ref="T427">_xlfn.IFS(AND(Table1[[#This Row],[Salary]]&gt;=180000, Table1[[#This Row],[Salary]] &lt;=500000),"Low (180k-500k)", AND(Table1[[#This Row],[Salary]]&gt;500000, Table1[[#This Row],[Salary]]&lt;=800000), "Medium (501k-800k)", AND(Table1[[#This Row],[Salary]]&gt;800000, Table1[[#This Row],[Salary]]&lt;1200000), "High (801k - 1.2m)")</f>
        <v>Medium (501k-800k)</v>
      </c>
    </row>
    <row r="428" spans="1:20" x14ac:dyDescent="0.2">
      <c r="A428">
        <v>427</v>
      </c>
      <c r="B428" t="s">
        <v>19</v>
      </c>
      <c r="C428" t="s">
        <v>14</v>
      </c>
      <c r="D428">
        <v>46</v>
      </c>
      <c r="E428" t="s">
        <v>49</v>
      </c>
      <c r="F428" t="s">
        <v>16</v>
      </c>
      <c r="G428">
        <v>402485</v>
      </c>
      <c r="H428" t="s">
        <v>475</v>
      </c>
      <c r="J428" t="s">
        <v>18</v>
      </c>
      <c r="K428">
        <v>3</v>
      </c>
      <c r="L428">
        <v>15</v>
      </c>
      <c r="M428">
        <v>89</v>
      </c>
      <c r="N428">
        <f>IF(Table1[[#This Row],[Employment_Status]]="Exited",1,0)</f>
        <v>0</v>
      </c>
      <c r="O428" t="str" cm="1">
        <f t="array" ref="O428">_xlfn.IFS(AND(Table1[[#This Row],[Age]]&gt;=22,Table1[[#This Row],[Age]]&lt;=35),"22-35",AND(Table1[[#This Row],[Age]]&gt;=36,Table1[[#This Row],[Age]]&lt;=45),"36-45",AND(Table1[[#This Row],[Age]]&gt;=46,Table1[[#This Row],[Age]]&lt;=55),"46-55")</f>
        <v>46-55</v>
      </c>
      <c r="P428">
        <f>IF(Table1[[#This Row],[Employment_Status]]="active",1,0)</f>
        <v>1</v>
      </c>
      <c r="Q428">
        <v>1</v>
      </c>
      <c r="R428" s="6">
        <f ca="1">YEARFRAC(Table1[[#This Row],[Hire_Date]],IF(Table1[[#This Row],[Employment_Status]]="Exited",Table1[[#This Row],[Exit_Date]],TODAY()))</f>
        <v>5.0805555555555557</v>
      </c>
      <c r="S428" t="str" cm="1">
        <f t="array" aca="1" ref="S428" ca="1">_xlfn.IFS(AND(Table1[[#This Row],[Tenure]]&gt;=0,Table1[[#This Row],[Tenure]]&lt;=1),"0-1",AND(Table1[[#This Row],[Tenure]]&gt;1,Table1[[#This Row],[Tenure]]&lt;=3),"1-3",AND(Table1[[#This Row],[Tenure]]&gt;3,Table1[[#This Row],[Tenure]]&lt;=5),"3-5",AND(Table1[[#This Row],[Tenure]]&gt;5,Table1[[#This Row],[Tenure]]&lt;=8),"5-8")</f>
        <v>5-8</v>
      </c>
      <c r="T428" t="str" cm="1">
        <f t="array" ref="T428">_xlfn.IFS(AND(Table1[[#This Row],[Salary]]&gt;=180000, Table1[[#This Row],[Salary]] &lt;=500000),"Low (180k-500k)", AND(Table1[[#This Row],[Salary]]&gt;500000, Table1[[#This Row],[Salary]]&lt;=800000), "Medium (501k-800k)", AND(Table1[[#This Row],[Salary]]&gt;800000, Table1[[#This Row],[Salary]]&lt;1200000), "High (801k - 1.2m)")</f>
        <v>Low (180k-500k)</v>
      </c>
    </row>
    <row r="429" spans="1:20" x14ac:dyDescent="0.2">
      <c r="A429">
        <v>428</v>
      </c>
      <c r="B429" t="s">
        <v>40</v>
      </c>
      <c r="C429" t="s">
        <v>20</v>
      </c>
      <c r="D429">
        <v>38</v>
      </c>
      <c r="E429" t="s">
        <v>15</v>
      </c>
      <c r="F429" t="s">
        <v>34</v>
      </c>
      <c r="G429">
        <v>1051869</v>
      </c>
      <c r="H429" t="s">
        <v>476</v>
      </c>
      <c r="I429" t="s">
        <v>218</v>
      </c>
      <c r="J429" t="s">
        <v>55</v>
      </c>
      <c r="K429">
        <v>3</v>
      </c>
      <c r="L429">
        <v>3</v>
      </c>
      <c r="M429">
        <v>83</v>
      </c>
      <c r="N429">
        <f>IF(Table1[[#This Row],[Employment_Status]]="Exited",1,0)</f>
        <v>1</v>
      </c>
      <c r="O429" t="str" cm="1">
        <f t="array" ref="O429">_xlfn.IFS(AND(Table1[[#This Row],[Age]]&gt;=22,Table1[[#This Row],[Age]]&lt;=35),"22-35",AND(Table1[[#This Row],[Age]]&gt;=36,Table1[[#This Row],[Age]]&lt;=45),"36-45",AND(Table1[[#This Row],[Age]]&gt;=46,Table1[[#This Row],[Age]]&lt;=55),"46-55")</f>
        <v>36-45</v>
      </c>
      <c r="P429">
        <f>IF(Table1[[#This Row],[Employment_Status]]="active",1,0)</f>
        <v>0</v>
      </c>
      <c r="Q429">
        <v>1</v>
      </c>
      <c r="R429" s="6">
        <f ca="1">YEARFRAC(Table1[[#This Row],[Hire_Date]],IF(Table1[[#This Row],[Employment_Status]]="Exited",Table1[[#This Row],[Exit_Date]],TODAY()))</f>
        <v>1.6083333333333334</v>
      </c>
      <c r="S429" t="str" cm="1">
        <f t="array" aca="1" ref="S429" ca="1">_xlfn.IFS(AND(Table1[[#This Row],[Tenure]]&gt;=0,Table1[[#This Row],[Tenure]]&lt;=1),"0-1",AND(Table1[[#This Row],[Tenure]]&gt;1,Table1[[#This Row],[Tenure]]&lt;=3),"1-3",AND(Table1[[#This Row],[Tenure]]&gt;3,Table1[[#This Row],[Tenure]]&lt;=5),"3-5",AND(Table1[[#This Row],[Tenure]]&gt;5,Table1[[#This Row],[Tenure]]&lt;=8),"5-8")</f>
        <v>1-3</v>
      </c>
      <c r="T429" t="str" cm="1">
        <f t="array" ref="T429">_xlfn.IFS(AND(Table1[[#This Row],[Salary]]&gt;=180000, Table1[[#This Row],[Salary]] &lt;=500000),"Low (180k-500k)", AND(Table1[[#This Row],[Salary]]&gt;500000, Table1[[#This Row],[Salary]]&lt;=800000), "Medium (501k-800k)", AND(Table1[[#This Row],[Salary]]&gt;800000, Table1[[#This Row],[Salary]]&lt;1200000), "High (801k - 1.2m)")</f>
        <v>High (801k - 1.2m)</v>
      </c>
    </row>
    <row r="430" spans="1:20" x14ac:dyDescent="0.2">
      <c r="A430">
        <v>429</v>
      </c>
      <c r="B430" t="s">
        <v>36</v>
      </c>
      <c r="C430" t="s">
        <v>20</v>
      </c>
      <c r="D430">
        <v>34</v>
      </c>
      <c r="E430" t="s">
        <v>45</v>
      </c>
      <c r="F430" t="s">
        <v>34</v>
      </c>
      <c r="G430">
        <v>347993</v>
      </c>
      <c r="H430" t="s">
        <v>477</v>
      </c>
      <c r="J430" t="s">
        <v>18</v>
      </c>
      <c r="K430">
        <v>3</v>
      </c>
      <c r="L430">
        <v>23</v>
      </c>
      <c r="M430">
        <v>77</v>
      </c>
      <c r="N430">
        <f>IF(Table1[[#This Row],[Employment_Status]]="Exited",1,0)</f>
        <v>0</v>
      </c>
      <c r="O430" t="str" cm="1">
        <f t="array" ref="O430">_xlfn.IFS(AND(Table1[[#This Row],[Age]]&gt;=22,Table1[[#This Row],[Age]]&lt;=35),"22-35",AND(Table1[[#This Row],[Age]]&gt;=36,Table1[[#This Row],[Age]]&lt;=45),"36-45",AND(Table1[[#This Row],[Age]]&gt;=46,Table1[[#This Row],[Age]]&lt;=55),"46-55")</f>
        <v>22-35</v>
      </c>
      <c r="P430">
        <f>IF(Table1[[#This Row],[Employment_Status]]="active",1,0)</f>
        <v>1</v>
      </c>
      <c r="Q430">
        <v>1</v>
      </c>
      <c r="R430" s="6">
        <f ca="1">YEARFRAC(Table1[[#This Row],[Hire_Date]],IF(Table1[[#This Row],[Employment_Status]]="Exited",Table1[[#This Row],[Exit_Date]],TODAY()))</f>
        <v>5.0611111111111109</v>
      </c>
      <c r="S430" t="str" cm="1">
        <f t="array" aca="1" ref="S430" ca="1">_xlfn.IFS(AND(Table1[[#This Row],[Tenure]]&gt;=0,Table1[[#This Row],[Tenure]]&lt;=1),"0-1",AND(Table1[[#This Row],[Tenure]]&gt;1,Table1[[#This Row],[Tenure]]&lt;=3),"1-3",AND(Table1[[#This Row],[Tenure]]&gt;3,Table1[[#This Row],[Tenure]]&lt;=5),"3-5",AND(Table1[[#This Row],[Tenure]]&gt;5,Table1[[#This Row],[Tenure]]&lt;=8),"5-8")</f>
        <v>5-8</v>
      </c>
      <c r="T430" t="str" cm="1">
        <f t="array" ref="T430">_xlfn.IFS(AND(Table1[[#This Row],[Salary]]&gt;=180000, Table1[[#This Row],[Salary]] &lt;=500000),"Low (180k-500k)", AND(Table1[[#This Row],[Salary]]&gt;500000, Table1[[#This Row],[Salary]]&lt;=800000), "Medium (501k-800k)", AND(Table1[[#This Row],[Salary]]&gt;800000, Table1[[#This Row],[Salary]]&lt;1200000), "High (801k - 1.2m)")</f>
        <v>Low (180k-500k)</v>
      </c>
    </row>
    <row r="431" spans="1:20" x14ac:dyDescent="0.2">
      <c r="A431">
        <v>430</v>
      </c>
      <c r="B431" t="s">
        <v>26</v>
      </c>
      <c r="C431" t="s">
        <v>20</v>
      </c>
      <c r="D431">
        <v>25</v>
      </c>
      <c r="E431" t="s">
        <v>61</v>
      </c>
      <c r="F431" t="s">
        <v>27</v>
      </c>
      <c r="G431">
        <v>263046</v>
      </c>
      <c r="H431" t="s">
        <v>478</v>
      </c>
      <c r="J431" t="s">
        <v>18</v>
      </c>
      <c r="K431">
        <v>3</v>
      </c>
      <c r="L431">
        <v>49</v>
      </c>
      <c r="M431">
        <v>99</v>
      </c>
      <c r="N431">
        <f>IF(Table1[[#This Row],[Employment_Status]]="Exited",1,0)</f>
        <v>0</v>
      </c>
      <c r="O431" t="str" cm="1">
        <f t="array" ref="O431">_xlfn.IFS(AND(Table1[[#This Row],[Age]]&gt;=22,Table1[[#This Row],[Age]]&lt;=35),"22-35",AND(Table1[[#This Row],[Age]]&gt;=36,Table1[[#This Row],[Age]]&lt;=45),"36-45",AND(Table1[[#This Row],[Age]]&gt;=46,Table1[[#This Row],[Age]]&lt;=55),"46-55")</f>
        <v>22-35</v>
      </c>
      <c r="P431">
        <f>IF(Table1[[#This Row],[Employment_Status]]="active",1,0)</f>
        <v>1</v>
      </c>
      <c r="Q431">
        <v>1</v>
      </c>
      <c r="R431" s="6">
        <f ca="1">YEARFRAC(Table1[[#This Row],[Hire_Date]],IF(Table1[[#This Row],[Employment_Status]]="Exited",Table1[[#This Row],[Exit_Date]],TODAY()))</f>
        <v>4.8638888888888889</v>
      </c>
      <c r="S431" t="str" cm="1">
        <f t="array" aca="1" ref="S431" ca="1">_xlfn.IFS(AND(Table1[[#This Row],[Tenure]]&gt;=0,Table1[[#This Row],[Tenure]]&lt;=1),"0-1",AND(Table1[[#This Row],[Tenure]]&gt;1,Table1[[#This Row],[Tenure]]&lt;=3),"1-3",AND(Table1[[#This Row],[Tenure]]&gt;3,Table1[[#This Row],[Tenure]]&lt;=5),"3-5",AND(Table1[[#This Row],[Tenure]]&gt;5,Table1[[#This Row],[Tenure]]&lt;=8),"5-8")</f>
        <v>3-5</v>
      </c>
      <c r="T431" t="str" cm="1">
        <f t="array" ref="T431">_xlfn.IFS(AND(Table1[[#This Row],[Salary]]&gt;=180000, Table1[[#This Row],[Salary]] &lt;=500000),"Low (180k-500k)", AND(Table1[[#This Row],[Salary]]&gt;500000, Table1[[#This Row],[Salary]]&lt;=800000), "Medium (501k-800k)", AND(Table1[[#This Row],[Salary]]&gt;800000, Table1[[#This Row],[Salary]]&lt;1200000), "High (801k - 1.2m)")</f>
        <v>Low (180k-500k)</v>
      </c>
    </row>
    <row r="432" spans="1:20" x14ac:dyDescent="0.2">
      <c r="A432">
        <v>431</v>
      </c>
      <c r="B432" t="s">
        <v>26</v>
      </c>
      <c r="C432" t="s">
        <v>20</v>
      </c>
      <c r="D432">
        <v>48</v>
      </c>
      <c r="E432" t="s">
        <v>21</v>
      </c>
      <c r="F432" t="s">
        <v>22</v>
      </c>
      <c r="G432">
        <v>559337</v>
      </c>
      <c r="H432" t="s">
        <v>479</v>
      </c>
      <c r="I432" t="s">
        <v>161</v>
      </c>
      <c r="J432" t="s">
        <v>55</v>
      </c>
      <c r="K432">
        <v>5</v>
      </c>
      <c r="L432">
        <v>44</v>
      </c>
      <c r="M432">
        <v>81</v>
      </c>
      <c r="N432">
        <f>IF(Table1[[#This Row],[Employment_Status]]="Exited",1,0)</f>
        <v>1</v>
      </c>
      <c r="O432" t="str" cm="1">
        <f t="array" ref="O432">_xlfn.IFS(AND(Table1[[#This Row],[Age]]&gt;=22,Table1[[#This Row],[Age]]&lt;=35),"22-35",AND(Table1[[#This Row],[Age]]&gt;=36,Table1[[#This Row],[Age]]&lt;=45),"36-45",AND(Table1[[#This Row],[Age]]&gt;=46,Table1[[#This Row],[Age]]&lt;=55),"46-55")</f>
        <v>46-55</v>
      </c>
      <c r="P432">
        <f>IF(Table1[[#This Row],[Employment_Status]]="active",1,0)</f>
        <v>0</v>
      </c>
      <c r="Q432">
        <v>1</v>
      </c>
      <c r="R432" s="6">
        <f ca="1">YEARFRAC(Table1[[#This Row],[Hire_Date]],IF(Table1[[#This Row],[Employment_Status]]="Exited",Table1[[#This Row],[Exit_Date]],TODAY()))</f>
        <v>2.0305555555555554</v>
      </c>
      <c r="S432" t="str" cm="1">
        <f t="array" aca="1" ref="S432" ca="1">_xlfn.IFS(AND(Table1[[#This Row],[Tenure]]&gt;=0,Table1[[#This Row],[Tenure]]&lt;=1),"0-1",AND(Table1[[#This Row],[Tenure]]&gt;1,Table1[[#This Row],[Tenure]]&lt;=3),"1-3",AND(Table1[[#This Row],[Tenure]]&gt;3,Table1[[#This Row],[Tenure]]&lt;=5),"3-5",AND(Table1[[#This Row],[Tenure]]&gt;5,Table1[[#This Row],[Tenure]]&lt;=8),"5-8")</f>
        <v>1-3</v>
      </c>
      <c r="T432" t="str" cm="1">
        <f t="array" ref="T432">_xlfn.IFS(AND(Table1[[#This Row],[Salary]]&gt;=180000, Table1[[#This Row],[Salary]] &lt;=500000),"Low (180k-500k)", AND(Table1[[#This Row],[Salary]]&gt;500000, Table1[[#This Row],[Salary]]&lt;=800000), "Medium (501k-800k)", AND(Table1[[#This Row],[Salary]]&gt;800000, Table1[[#This Row],[Salary]]&lt;1200000), "High (801k - 1.2m)")</f>
        <v>Medium (501k-800k)</v>
      </c>
    </row>
    <row r="433" spans="1:20" x14ac:dyDescent="0.2">
      <c r="A433">
        <v>432</v>
      </c>
      <c r="B433" t="s">
        <v>47</v>
      </c>
      <c r="C433" t="s">
        <v>14</v>
      </c>
      <c r="D433">
        <v>54</v>
      </c>
      <c r="E433" t="s">
        <v>61</v>
      </c>
      <c r="F433" t="s">
        <v>34</v>
      </c>
      <c r="G433">
        <v>362177</v>
      </c>
      <c r="H433" t="s">
        <v>480</v>
      </c>
      <c r="J433" t="s">
        <v>18</v>
      </c>
      <c r="K433">
        <v>3</v>
      </c>
      <c r="L433">
        <v>8</v>
      </c>
      <c r="M433">
        <v>75</v>
      </c>
      <c r="N433">
        <f>IF(Table1[[#This Row],[Employment_Status]]="Exited",1,0)</f>
        <v>0</v>
      </c>
      <c r="O433" t="str" cm="1">
        <f t="array" ref="O433">_xlfn.IFS(AND(Table1[[#This Row],[Age]]&gt;=22,Table1[[#This Row],[Age]]&lt;=35),"22-35",AND(Table1[[#This Row],[Age]]&gt;=36,Table1[[#This Row],[Age]]&lt;=45),"36-45",AND(Table1[[#This Row],[Age]]&gt;=46,Table1[[#This Row],[Age]]&lt;=55),"46-55")</f>
        <v>46-55</v>
      </c>
      <c r="P433">
        <f>IF(Table1[[#This Row],[Employment_Status]]="active",1,0)</f>
        <v>1</v>
      </c>
      <c r="Q433">
        <v>1</v>
      </c>
      <c r="R433" s="6">
        <f ca="1">YEARFRAC(Table1[[#This Row],[Hire_Date]],IF(Table1[[#This Row],[Employment_Status]]="Exited",Table1[[#This Row],[Exit_Date]],TODAY()))</f>
        <v>4.7</v>
      </c>
      <c r="S433" t="str" cm="1">
        <f t="array" aca="1" ref="S433" ca="1">_xlfn.IFS(AND(Table1[[#This Row],[Tenure]]&gt;=0,Table1[[#This Row],[Tenure]]&lt;=1),"0-1",AND(Table1[[#This Row],[Tenure]]&gt;1,Table1[[#This Row],[Tenure]]&lt;=3),"1-3",AND(Table1[[#This Row],[Tenure]]&gt;3,Table1[[#This Row],[Tenure]]&lt;=5),"3-5",AND(Table1[[#This Row],[Tenure]]&gt;5,Table1[[#This Row],[Tenure]]&lt;=8),"5-8")</f>
        <v>3-5</v>
      </c>
      <c r="T433" t="str" cm="1">
        <f t="array" ref="T433">_xlfn.IFS(AND(Table1[[#This Row],[Salary]]&gt;=180000, Table1[[#This Row],[Salary]] &lt;=500000),"Low (180k-500k)", AND(Table1[[#This Row],[Salary]]&gt;500000, Table1[[#This Row],[Salary]]&lt;=800000), "Medium (501k-800k)", AND(Table1[[#This Row],[Salary]]&gt;800000, Table1[[#This Row],[Salary]]&lt;1200000), "High (801k - 1.2m)")</f>
        <v>Low (180k-500k)</v>
      </c>
    </row>
    <row r="434" spans="1:20" x14ac:dyDescent="0.2">
      <c r="A434">
        <v>433</v>
      </c>
      <c r="B434" t="s">
        <v>40</v>
      </c>
      <c r="C434" t="s">
        <v>20</v>
      </c>
      <c r="D434">
        <v>27</v>
      </c>
      <c r="E434" t="s">
        <v>21</v>
      </c>
      <c r="F434" t="s">
        <v>34</v>
      </c>
      <c r="G434">
        <v>292921</v>
      </c>
      <c r="H434" t="s">
        <v>481</v>
      </c>
      <c r="J434" t="s">
        <v>18</v>
      </c>
      <c r="K434">
        <v>1</v>
      </c>
      <c r="L434">
        <v>12</v>
      </c>
      <c r="M434">
        <v>80</v>
      </c>
      <c r="N434">
        <f>IF(Table1[[#This Row],[Employment_Status]]="Exited",1,0)</f>
        <v>0</v>
      </c>
      <c r="O434" t="str" cm="1">
        <f t="array" ref="O434">_xlfn.IFS(AND(Table1[[#This Row],[Age]]&gt;=22,Table1[[#This Row],[Age]]&lt;=35),"22-35",AND(Table1[[#This Row],[Age]]&gt;=36,Table1[[#This Row],[Age]]&lt;=45),"36-45",AND(Table1[[#This Row],[Age]]&gt;=46,Table1[[#This Row],[Age]]&lt;=55),"46-55")</f>
        <v>22-35</v>
      </c>
      <c r="P434">
        <f>IF(Table1[[#This Row],[Employment_Status]]="active",1,0)</f>
        <v>1</v>
      </c>
      <c r="Q434">
        <v>1</v>
      </c>
      <c r="R434" s="6">
        <f ca="1">YEARFRAC(Table1[[#This Row],[Hire_Date]],IF(Table1[[#This Row],[Employment_Status]]="Exited",Table1[[#This Row],[Exit_Date]],TODAY()))</f>
        <v>5.7861111111111114</v>
      </c>
      <c r="S434" t="str" cm="1">
        <f t="array" aca="1" ref="S434" ca="1">_xlfn.IFS(AND(Table1[[#This Row],[Tenure]]&gt;=0,Table1[[#This Row],[Tenure]]&lt;=1),"0-1",AND(Table1[[#This Row],[Tenure]]&gt;1,Table1[[#This Row],[Tenure]]&lt;=3),"1-3",AND(Table1[[#This Row],[Tenure]]&gt;3,Table1[[#This Row],[Tenure]]&lt;=5),"3-5",AND(Table1[[#This Row],[Tenure]]&gt;5,Table1[[#This Row],[Tenure]]&lt;=8),"5-8")</f>
        <v>5-8</v>
      </c>
      <c r="T434" t="str" cm="1">
        <f t="array" ref="T434">_xlfn.IFS(AND(Table1[[#This Row],[Salary]]&gt;=180000, Table1[[#This Row],[Salary]] &lt;=500000),"Low (180k-500k)", AND(Table1[[#This Row],[Salary]]&gt;500000, Table1[[#This Row],[Salary]]&lt;=800000), "Medium (501k-800k)", AND(Table1[[#This Row],[Salary]]&gt;800000, Table1[[#This Row],[Salary]]&lt;1200000), "High (801k - 1.2m)")</f>
        <v>Low (180k-500k)</v>
      </c>
    </row>
    <row r="435" spans="1:20" x14ac:dyDescent="0.2">
      <c r="A435">
        <v>434</v>
      </c>
      <c r="B435" t="s">
        <v>29</v>
      </c>
      <c r="C435" t="s">
        <v>14</v>
      </c>
      <c r="D435">
        <v>54</v>
      </c>
      <c r="E435" t="s">
        <v>15</v>
      </c>
      <c r="F435" t="s">
        <v>22</v>
      </c>
      <c r="G435">
        <v>750231</v>
      </c>
      <c r="H435" t="s">
        <v>482</v>
      </c>
      <c r="J435" t="s">
        <v>18</v>
      </c>
      <c r="K435">
        <v>3</v>
      </c>
      <c r="L435">
        <v>23</v>
      </c>
      <c r="M435">
        <v>75</v>
      </c>
      <c r="N435">
        <f>IF(Table1[[#This Row],[Employment_Status]]="Exited",1,0)</f>
        <v>0</v>
      </c>
      <c r="O435" t="str" cm="1">
        <f t="array" ref="O435">_xlfn.IFS(AND(Table1[[#This Row],[Age]]&gt;=22,Table1[[#This Row],[Age]]&lt;=35),"22-35",AND(Table1[[#This Row],[Age]]&gt;=36,Table1[[#This Row],[Age]]&lt;=45),"36-45",AND(Table1[[#This Row],[Age]]&gt;=46,Table1[[#This Row],[Age]]&lt;=55),"46-55")</f>
        <v>46-55</v>
      </c>
      <c r="P435">
        <f>IF(Table1[[#This Row],[Employment_Status]]="active",1,0)</f>
        <v>1</v>
      </c>
      <c r="Q435">
        <v>1</v>
      </c>
      <c r="R435" s="6">
        <f ca="1">YEARFRAC(Table1[[#This Row],[Hire_Date]],IF(Table1[[#This Row],[Employment_Status]]="Exited",Table1[[#This Row],[Exit_Date]],TODAY()))</f>
        <v>6.5472222222222225</v>
      </c>
      <c r="S435" t="str" cm="1">
        <f t="array" aca="1" ref="S435" ca="1">_xlfn.IFS(AND(Table1[[#This Row],[Tenure]]&gt;=0,Table1[[#This Row],[Tenure]]&lt;=1),"0-1",AND(Table1[[#This Row],[Tenure]]&gt;1,Table1[[#This Row],[Tenure]]&lt;=3),"1-3",AND(Table1[[#This Row],[Tenure]]&gt;3,Table1[[#This Row],[Tenure]]&lt;=5),"3-5",AND(Table1[[#This Row],[Tenure]]&gt;5,Table1[[#This Row],[Tenure]]&lt;=8),"5-8")</f>
        <v>5-8</v>
      </c>
      <c r="T435" t="str" cm="1">
        <f t="array" ref="T435">_xlfn.IFS(AND(Table1[[#This Row],[Salary]]&gt;=180000, Table1[[#This Row],[Salary]] &lt;=500000),"Low (180k-500k)", AND(Table1[[#This Row],[Salary]]&gt;500000, Table1[[#This Row],[Salary]]&lt;=800000), "Medium (501k-800k)", AND(Table1[[#This Row],[Salary]]&gt;800000, Table1[[#This Row],[Salary]]&lt;1200000), "High (801k - 1.2m)")</f>
        <v>Medium (501k-800k)</v>
      </c>
    </row>
    <row r="436" spans="1:20" x14ac:dyDescent="0.2">
      <c r="A436">
        <v>435</v>
      </c>
      <c r="B436" t="s">
        <v>36</v>
      </c>
      <c r="C436" t="s">
        <v>14</v>
      </c>
      <c r="D436">
        <v>30</v>
      </c>
      <c r="E436" t="s">
        <v>15</v>
      </c>
      <c r="F436" t="s">
        <v>16</v>
      </c>
      <c r="G436">
        <v>579493</v>
      </c>
      <c r="H436" t="s">
        <v>483</v>
      </c>
      <c r="I436" t="s">
        <v>484</v>
      </c>
      <c r="J436" t="s">
        <v>55</v>
      </c>
      <c r="K436">
        <v>2</v>
      </c>
      <c r="L436">
        <v>8</v>
      </c>
      <c r="M436">
        <v>100</v>
      </c>
      <c r="N436">
        <f>IF(Table1[[#This Row],[Employment_Status]]="Exited",1,0)</f>
        <v>1</v>
      </c>
      <c r="O436" t="str" cm="1">
        <f t="array" ref="O436">_xlfn.IFS(AND(Table1[[#This Row],[Age]]&gt;=22,Table1[[#This Row],[Age]]&lt;=35),"22-35",AND(Table1[[#This Row],[Age]]&gt;=36,Table1[[#This Row],[Age]]&lt;=45),"36-45",AND(Table1[[#This Row],[Age]]&gt;=46,Table1[[#This Row],[Age]]&lt;=55),"46-55")</f>
        <v>22-35</v>
      </c>
      <c r="P436">
        <f>IF(Table1[[#This Row],[Employment_Status]]="active",1,0)</f>
        <v>0</v>
      </c>
      <c r="Q436">
        <v>1</v>
      </c>
      <c r="R436" s="6">
        <f ca="1">YEARFRAC(Table1[[#This Row],[Hire_Date]],IF(Table1[[#This Row],[Employment_Status]]="Exited",Table1[[#This Row],[Exit_Date]],TODAY()))</f>
        <v>1.788888888888889</v>
      </c>
      <c r="S436" t="str" cm="1">
        <f t="array" aca="1" ref="S436" ca="1">_xlfn.IFS(AND(Table1[[#This Row],[Tenure]]&gt;=0,Table1[[#This Row],[Tenure]]&lt;=1),"0-1",AND(Table1[[#This Row],[Tenure]]&gt;1,Table1[[#This Row],[Tenure]]&lt;=3),"1-3",AND(Table1[[#This Row],[Tenure]]&gt;3,Table1[[#This Row],[Tenure]]&lt;=5),"3-5",AND(Table1[[#This Row],[Tenure]]&gt;5,Table1[[#This Row],[Tenure]]&lt;=8),"5-8")</f>
        <v>1-3</v>
      </c>
      <c r="T436" t="str" cm="1">
        <f t="array" ref="T436">_xlfn.IFS(AND(Table1[[#This Row],[Salary]]&gt;=180000, Table1[[#This Row],[Salary]] &lt;=500000),"Low (180k-500k)", AND(Table1[[#This Row],[Salary]]&gt;500000, Table1[[#This Row],[Salary]]&lt;=800000), "Medium (501k-800k)", AND(Table1[[#This Row],[Salary]]&gt;800000, Table1[[#This Row],[Salary]]&lt;1200000), "High (801k - 1.2m)")</f>
        <v>Medium (501k-800k)</v>
      </c>
    </row>
    <row r="437" spans="1:20" x14ac:dyDescent="0.2">
      <c r="A437">
        <v>436</v>
      </c>
      <c r="B437" t="s">
        <v>36</v>
      </c>
      <c r="C437" t="s">
        <v>20</v>
      </c>
      <c r="D437">
        <v>54</v>
      </c>
      <c r="E437" t="s">
        <v>15</v>
      </c>
      <c r="F437" t="s">
        <v>27</v>
      </c>
      <c r="G437">
        <v>888838</v>
      </c>
      <c r="H437" t="s">
        <v>367</v>
      </c>
      <c r="J437" t="s">
        <v>18</v>
      </c>
      <c r="K437">
        <v>3</v>
      </c>
      <c r="L437">
        <v>28</v>
      </c>
      <c r="M437">
        <v>74</v>
      </c>
      <c r="N437">
        <f>IF(Table1[[#This Row],[Employment_Status]]="Exited",1,0)</f>
        <v>0</v>
      </c>
      <c r="O437" t="str" cm="1">
        <f t="array" ref="O437">_xlfn.IFS(AND(Table1[[#This Row],[Age]]&gt;=22,Table1[[#This Row],[Age]]&lt;=35),"22-35",AND(Table1[[#This Row],[Age]]&gt;=36,Table1[[#This Row],[Age]]&lt;=45),"36-45",AND(Table1[[#This Row],[Age]]&gt;=46,Table1[[#This Row],[Age]]&lt;=55),"46-55")</f>
        <v>46-55</v>
      </c>
      <c r="P437">
        <f>IF(Table1[[#This Row],[Employment_Status]]="active",1,0)</f>
        <v>1</v>
      </c>
      <c r="Q437">
        <v>1</v>
      </c>
      <c r="R437" s="6">
        <f ca="1">YEARFRAC(Table1[[#This Row],[Hire_Date]],IF(Table1[[#This Row],[Employment_Status]]="Exited",Table1[[#This Row],[Exit_Date]],TODAY()))</f>
        <v>5.958333333333333</v>
      </c>
      <c r="S437" t="str" cm="1">
        <f t="array" aca="1" ref="S437" ca="1">_xlfn.IFS(AND(Table1[[#This Row],[Tenure]]&gt;=0,Table1[[#This Row],[Tenure]]&lt;=1),"0-1",AND(Table1[[#This Row],[Tenure]]&gt;1,Table1[[#This Row],[Tenure]]&lt;=3),"1-3",AND(Table1[[#This Row],[Tenure]]&gt;3,Table1[[#This Row],[Tenure]]&lt;=5),"3-5",AND(Table1[[#This Row],[Tenure]]&gt;5,Table1[[#This Row],[Tenure]]&lt;=8),"5-8")</f>
        <v>5-8</v>
      </c>
      <c r="T437" t="str" cm="1">
        <f t="array" ref="T437">_xlfn.IFS(AND(Table1[[#This Row],[Salary]]&gt;=180000, Table1[[#This Row],[Salary]] &lt;=500000),"Low (180k-500k)", AND(Table1[[#This Row],[Salary]]&gt;500000, Table1[[#This Row],[Salary]]&lt;=800000), "Medium (501k-800k)", AND(Table1[[#This Row],[Salary]]&gt;800000, Table1[[#This Row],[Salary]]&lt;1200000), "High (801k - 1.2m)")</f>
        <v>High (801k - 1.2m)</v>
      </c>
    </row>
    <row r="438" spans="1:20" x14ac:dyDescent="0.2">
      <c r="A438">
        <v>437</v>
      </c>
      <c r="B438" t="s">
        <v>47</v>
      </c>
      <c r="C438" t="s">
        <v>14</v>
      </c>
      <c r="D438">
        <v>47</v>
      </c>
      <c r="E438" t="s">
        <v>61</v>
      </c>
      <c r="F438" t="s">
        <v>16</v>
      </c>
      <c r="G438">
        <v>281638</v>
      </c>
      <c r="H438" t="s">
        <v>485</v>
      </c>
      <c r="J438" t="s">
        <v>18</v>
      </c>
      <c r="K438">
        <v>5</v>
      </c>
      <c r="L438">
        <v>37</v>
      </c>
      <c r="M438">
        <v>80</v>
      </c>
      <c r="N438">
        <f>IF(Table1[[#This Row],[Employment_Status]]="Exited",1,0)</f>
        <v>0</v>
      </c>
      <c r="O438" t="str" cm="1">
        <f t="array" ref="O438">_xlfn.IFS(AND(Table1[[#This Row],[Age]]&gt;=22,Table1[[#This Row],[Age]]&lt;=35),"22-35",AND(Table1[[#This Row],[Age]]&gt;=36,Table1[[#This Row],[Age]]&lt;=45),"36-45",AND(Table1[[#This Row],[Age]]&gt;=46,Table1[[#This Row],[Age]]&lt;=55),"46-55")</f>
        <v>46-55</v>
      </c>
      <c r="P438">
        <f>IF(Table1[[#This Row],[Employment_Status]]="active",1,0)</f>
        <v>1</v>
      </c>
      <c r="Q438">
        <v>1</v>
      </c>
      <c r="R438" s="6">
        <f ca="1">YEARFRAC(Table1[[#This Row],[Hire_Date]],IF(Table1[[#This Row],[Employment_Status]]="Exited",Table1[[#This Row],[Exit_Date]],TODAY()))</f>
        <v>5.7833333333333332</v>
      </c>
      <c r="S438" t="str" cm="1">
        <f t="array" aca="1" ref="S438" ca="1">_xlfn.IFS(AND(Table1[[#This Row],[Tenure]]&gt;=0,Table1[[#This Row],[Tenure]]&lt;=1),"0-1",AND(Table1[[#This Row],[Tenure]]&gt;1,Table1[[#This Row],[Tenure]]&lt;=3),"1-3",AND(Table1[[#This Row],[Tenure]]&gt;3,Table1[[#This Row],[Tenure]]&lt;=5),"3-5",AND(Table1[[#This Row],[Tenure]]&gt;5,Table1[[#This Row],[Tenure]]&lt;=8),"5-8")</f>
        <v>5-8</v>
      </c>
      <c r="T438" t="str" cm="1">
        <f t="array" ref="T438">_xlfn.IFS(AND(Table1[[#This Row],[Salary]]&gt;=180000, Table1[[#This Row],[Salary]] &lt;=500000),"Low (180k-500k)", AND(Table1[[#This Row],[Salary]]&gt;500000, Table1[[#This Row],[Salary]]&lt;=800000), "Medium (501k-800k)", AND(Table1[[#This Row],[Salary]]&gt;800000, Table1[[#This Row],[Salary]]&lt;1200000), "High (801k - 1.2m)")</f>
        <v>Low (180k-500k)</v>
      </c>
    </row>
    <row r="439" spans="1:20" x14ac:dyDescent="0.2">
      <c r="A439">
        <v>438</v>
      </c>
      <c r="B439" t="s">
        <v>47</v>
      </c>
      <c r="C439" t="s">
        <v>14</v>
      </c>
      <c r="D439">
        <v>24</v>
      </c>
      <c r="E439" t="s">
        <v>15</v>
      </c>
      <c r="F439" t="s">
        <v>27</v>
      </c>
      <c r="G439">
        <v>1111152</v>
      </c>
      <c r="H439" t="s">
        <v>134</v>
      </c>
      <c r="J439" t="s">
        <v>18</v>
      </c>
      <c r="K439">
        <v>4</v>
      </c>
      <c r="L439">
        <v>35</v>
      </c>
      <c r="M439">
        <v>79</v>
      </c>
      <c r="N439">
        <f>IF(Table1[[#This Row],[Employment_Status]]="Exited",1,0)</f>
        <v>0</v>
      </c>
      <c r="O439" t="str" cm="1">
        <f t="array" ref="O439">_xlfn.IFS(AND(Table1[[#This Row],[Age]]&gt;=22,Table1[[#This Row],[Age]]&lt;=35),"22-35",AND(Table1[[#This Row],[Age]]&gt;=36,Table1[[#This Row],[Age]]&lt;=45),"36-45",AND(Table1[[#This Row],[Age]]&gt;=46,Table1[[#This Row],[Age]]&lt;=55),"46-55")</f>
        <v>22-35</v>
      </c>
      <c r="P439">
        <f>IF(Table1[[#This Row],[Employment_Status]]="active",1,0)</f>
        <v>1</v>
      </c>
      <c r="Q439">
        <v>1</v>
      </c>
      <c r="R439" s="6">
        <f ca="1">YEARFRAC(Table1[[#This Row],[Hire_Date]],IF(Table1[[#This Row],[Employment_Status]]="Exited",Table1[[#This Row],[Exit_Date]],TODAY()))</f>
        <v>6.6833333333333336</v>
      </c>
      <c r="S439" t="str" cm="1">
        <f t="array" aca="1" ref="S439" ca="1">_xlfn.IFS(AND(Table1[[#This Row],[Tenure]]&gt;=0,Table1[[#This Row],[Tenure]]&lt;=1),"0-1",AND(Table1[[#This Row],[Tenure]]&gt;1,Table1[[#This Row],[Tenure]]&lt;=3),"1-3",AND(Table1[[#This Row],[Tenure]]&gt;3,Table1[[#This Row],[Tenure]]&lt;=5),"3-5",AND(Table1[[#This Row],[Tenure]]&gt;5,Table1[[#This Row],[Tenure]]&lt;=8),"5-8")</f>
        <v>5-8</v>
      </c>
      <c r="T439" t="str" cm="1">
        <f t="array" ref="T439">_xlfn.IFS(AND(Table1[[#This Row],[Salary]]&gt;=180000, Table1[[#This Row],[Salary]] &lt;=500000),"Low (180k-500k)", AND(Table1[[#This Row],[Salary]]&gt;500000, Table1[[#This Row],[Salary]]&lt;=800000), "Medium (501k-800k)", AND(Table1[[#This Row],[Salary]]&gt;800000, Table1[[#This Row],[Salary]]&lt;1200000), "High (801k - 1.2m)")</f>
        <v>High (801k - 1.2m)</v>
      </c>
    </row>
    <row r="440" spans="1:20" x14ac:dyDescent="0.2">
      <c r="A440">
        <v>439</v>
      </c>
      <c r="B440" t="s">
        <v>75</v>
      </c>
      <c r="C440" t="s">
        <v>20</v>
      </c>
      <c r="D440">
        <v>38</v>
      </c>
      <c r="E440" t="s">
        <v>15</v>
      </c>
      <c r="F440" t="s">
        <v>22</v>
      </c>
      <c r="G440">
        <v>627799</v>
      </c>
      <c r="H440" t="s">
        <v>96</v>
      </c>
      <c r="J440" t="s">
        <v>18</v>
      </c>
      <c r="K440">
        <v>5</v>
      </c>
      <c r="L440">
        <v>38</v>
      </c>
      <c r="M440">
        <v>79</v>
      </c>
      <c r="N440">
        <f>IF(Table1[[#This Row],[Employment_Status]]="Exited",1,0)</f>
        <v>0</v>
      </c>
      <c r="O440" t="str" cm="1">
        <f t="array" ref="O440">_xlfn.IFS(AND(Table1[[#This Row],[Age]]&gt;=22,Table1[[#This Row],[Age]]&lt;=35),"22-35",AND(Table1[[#This Row],[Age]]&gt;=36,Table1[[#This Row],[Age]]&lt;=45),"36-45",AND(Table1[[#This Row],[Age]]&gt;=46,Table1[[#This Row],[Age]]&lt;=55),"46-55")</f>
        <v>36-45</v>
      </c>
      <c r="P440">
        <f>IF(Table1[[#This Row],[Employment_Status]]="active",1,0)</f>
        <v>1</v>
      </c>
      <c r="Q440">
        <v>1</v>
      </c>
      <c r="R440" s="6">
        <f ca="1">YEARFRAC(Table1[[#This Row],[Hire_Date]],IF(Table1[[#This Row],[Employment_Status]]="Exited",Table1[[#This Row],[Exit_Date]],TODAY()))</f>
        <v>3.6694444444444443</v>
      </c>
      <c r="S440" t="str" cm="1">
        <f t="array" aca="1" ref="S440" ca="1">_xlfn.IFS(AND(Table1[[#This Row],[Tenure]]&gt;=0,Table1[[#This Row],[Tenure]]&lt;=1),"0-1",AND(Table1[[#This Row],[Tenure]]&gt;1,Table1[[#This Row],[Tenure]]&lt;=3),"1-3",AND(Table1[[#This Row],[Tenure]]&gt;3,Table1[[#This Row],[Tenure]]&lt;=5),"3-5",AND(Table1[[#This Row],[Tenure]]&gt;5,Table1[[#This Row],[Tenure]]&lt;=8),"5-8")</f>
        <v>3-5</v>
      </c>
      <c r="T440" t="str" cm="1">
        <f t="array" ref="T440">_xlfn.IFS(AND(Table1[[#This Row],[Salary]]&gt;=180000, Table1[[#This Row],[Salary]] &lt;=500000),"Low (180k-500k)", AND(Table1[[#This Row],[Salary]]&gt;500000, Table1[[#This Row],[Salary]]&lt;=800000), "Medium (501k-800k)", AND(Table1[[#This Row],[Salary]]&gt;800000, Table1[[#This Row],[Salary]]&lt;1200000), "High (801k - 1.2m)")</f>
        <v>Medium (501k-800k)</v>
      </c>
    </row>
    <row r="441" spans="1:20" x14ac:dyDescent="0.2">
      <c r="A441">
        <v>440</v>
      </c>
      <c r="B441" t="s">
        <v>47</v>
      </c>
      <c r="C441" t="s">
        <v>14</v>
      </c>
      <c r="D441">
        <v>31</v>
      </c>
      <c r="E441" t="s">
        <v>15</v>
      </c>
      <c r="F441" t="s">
        <v>16</v>
      </c>
      <c r="G441">
        <v>681651</v>
      </c>
      <c r="H441" t="s">
        <v>486</v>
      </c>
      <c r="J441" t="s">
        <v>18</v>
      </c>
      <c r="K441">
        <v>3</v>
      </c>
      <c r="L441">
        <v>13</v>
      </c>
      <c r="M441">
        <v>95</v>
      </c>
      <c r="N441">
        <f>IF(Table1[[#This Row],[Employment_Status]]="Exited",1,0)</f>
        <v>0</v>
      </c>
      <c r="O441" t="str" cm="1">
        <f t="array" ref="O441">_xlfn.IFS(AND(Table1[[#This Row],[Age]]&gt;=22,Table1[[#This Row],[Age]]&lt;=35),"22-35",AND(Table1[[#This Row],[Age]]&gt;=36,Table1[[#This Row],[Age]]&lt;=45),"36-45",AND(Table1[[#This Row],[Age]]&gt;=46,Table1[[#This Row],[Age]]&lt;=55),"46-55")</f>
        <v>22-35</v>
      </c>
      <c r="P441">
        <f>IF(Table1[[#This Row],[Employment_Status]]="active",1,0)</f>
        <v>1</v>
      </c>
      <c r="Q441">
        <v>1</v>
      </c>
      <c r="R441" s="6">
        <f ca="1">YEARFRAC(Table1[[#This Row],[Hire_Date]],IF(Table1[[#This Row],[Employment_Status]]="Exited",Table1[[#This Row],[Exit_Date]],TODAY()))</f>
        <v>2.2277777777777779</v>
      </c>
      <c r="S441" t="str" cm="1">
        <f t="array" aca="1" ref="S441" ca="1">_xlfn.IFS(AND(Table1[[#This Row],[Tenure]]&gt;=0,Table1[[#This Row],[Tenure]]&lt;=1),"0-1",AND(Table1[[#This Row],[Tenure]]&gt;1,Table1[[#This Row],[Tenure]]&lt;=3),"1-3",AND(Table1[[#This Row],[Tenure]]&gt;3,Table1[[#This Row],[Tenure]]&lt;=5),"3-5",AND(Table1[[#This Row],[Tenure]]&gt;5,Table1[[#This Row],[Tenure]]&lt;=8),"5-8")</f>
        <v>1-3</v>
      </c>
      <c r="T441" t="str" cm="1">
        <f t="array" ref="T441">_xlfn.IFS(AND(Table1[[#This Row],[Salary]]&gt;=180000, Table1[[#This Row],[Salary]] &lt;=500000),"Low (180k-500k)", AND(Table1[[#This Row],[Salary]]&gt;500000, Table1[[#This Row],[Salary]]&lt;=800000), "Medium (501k-800k)", AND(Table1[[#This Row],[Salary]]&gt;800000, Table1[[#This Row],[Salary]]&lt;1200000), "High (801k - 1.2m)")</f>
        <v>Medium (501k-800k)</v>
      </c>
    </row>
    <row r="442" spans="1:20" x14ac:dyDescent="0.2">
      <c r="A442">
        <v>441</v>
      </c>
      <c r="B442" t="s">
        <v>40</v>
      </c>
      <c r="C442" t="s">
        <v>14</v>
      </c>
      <c r="D442">
        <v>30</v>
      </c>
      <c r="E442" t="s">
        <v>21</v>
      </c>
      <c r="F442" t="s">
        <v>22</v>
      </c>
      <c r="G442">
        <v>283472</v>
      </c>
      <c r="H442" t="s">
        <v>487</v>
      </c>
      <c r="J442" t="s">
        <v>18</v>
      </c>
      <c r="K442">
        <v>3</v>
      </c>
      <c r="L442">
        <v>12</v>
      </c>
      <c r="M442">
        <v>68</v>
      </c>
      <c r="N442">
        <f>IF(Table1[[#This Row],[Employment_Status]]="Exited",1,0)</f>
        <v>0</v>
      </c>
      <c r="O442" t="str" cm="1">
        <f t="array" ref="O442">_xlfn.IFS(AND(Table1[[#This Row],[Age]]&gt;=22,Table1[[#This Row],[Age]]&lt;=35),"22-35",AND(Table1[[#This Row],[Age]]&gt;=36,Table1[[#This Row],[Age]]&lt;=45),"36-45",AND(Table1[[#This Row],[Age]]&gt;=46,Table1[[#This Row],[Age]]&lt;=55),"46-55")</f>
        <v>22-35</v>
      </c>
      <c r="P442">
        <f>IF(Table1[[#This Row],[Employment_Status]]="active",1,0)</f>
        <v>1</v>
      </c>
      <c r="Q442">
        <v>1</v>
      </c>
      <c r="R442" s="6">
        <f ca="1">YEARFRAC(Table1[[#This Row],[Hire_Date]],IF(Table1[[#This Row],[Employment_Status]]="Exited",Table1[[#This Row],[Exit_Date]],TODAY()))</f>
        <v>4.3083333333333336</v>
      </c>
      <c r="S442" t="str" cm="1">
        <f t="array" aca="1" ref="S442" ca="1">_xlfn.IFS(AND(Table1[[#This Row],[Tenure]]&gt;=0,Table1[[#This Row],[Tenure]]&lt;=1),"0-1",AND(Table1[[#This Row],[Tenure]]&gt;1,Table1[[#This Row],[Tenure]]&lt;=3),"1-3",AND(Table1[[#This Row],[Tenure]]&gt;3,Table1[[#This Row],[Tenure]]&lt;=5),"3-5",AND(Table1[[#This Row],[Tenure]]&gt;5,Table1[[#This Row],[Tenure]]&lt;=8),"5-8")</f>
        <v>3-5</v>
      </c>
      <c r="T442" t="str" cm="1">
        <f t="array" ref="T442">_xlfn.IFS(AND(Table1[[#This Row],[Salary]]&gt;=180000, Table1[[#This Row],[Salary]] &lt;=500000),"Low (180k-500k)", AND(Table1[[#This Row],[Salary]]&gt;500000, Table1[[#This Row],[Salary]]&lt;=800000), "Medium (501k-800k)", AND(Table1[[#This Row],[Salary]]&gt;800000, Table1[[#This Row],[Salary]]&lt;1200000), "High (801k - 1.2m)")</f>
        <v>Low (180k-500k)</v>
      </c>
    </row>
    <row r="443" spans="1:20" x14ac:dyDescent="0.2">
      <c r="A443">
        <v>442</v>
      </c>
      <c r="B443" t="s">
        <v>47</v>
      </c>
      <c r="C443" t="s">
        <v>14</v>
      </c>
      <c r="D443">
        <v>53</v>
      </c>
      <c r="E443" t="s">
        <v>15</v>
      </c>
      <c r="F443" t="s">
        <v>22</v>
      </c>
      <c r="G443">
        <v>875805</v>
      </c>
      <c r="H443" t="s">
        <v>488</v>
      </c>
      <c r="J443" t="s">
        <v>18</v>
      </c>
      <c r="K443">
        <v>4</v>
      </c>
      <c r="L443">
        <v>36</v>
      </c>
      <c r="M443">
        <v>89</v>
      </c>
      <c r="N443">
        <f>IF(Table1[[#This Row],[Employment_Status]]="Exited",1,0)</f>
        <v>0</v>
      </c>
      <c r="O443" t="str" cm="1">
        <f t="array" ref="O443">_xlfn.IFS(AND(Table1[[#This Row],[Age]]&gt;=22,Table1[[#This Row],[Age]]&lt;=35),"22-35",AND(Table1[[#This Row],[Age]]&gt;=36,Table1[[#This Row],[Age]]&lt;=45),"36-45",AND(Table1[[#This Row],[Age]]&gt;=46,Table1[[#This Row],[Age]]&lt;=55),"46-55")</f>
        <v>46-55</v>
      </c>
      <c r="P443">
        <f>IF(Table1[[#This Row],[Employment_Status]]="active",1,0)</f>
        <v>1</v>
      </c>
      <c r="Q443">
        <v>1</v>
      </c>
      <c r="R443" s="6">
        <f ca="1">YEARFRAC(Table1[[#This Row],[Hire_Date]],IF(Table1[[#This Row],[Employment_Status]]="Exited",Table1[[#This Row],[Exit_Date]],TODAY()))</f>
        <v>7.0777777777777775</v>
      </c>
      <c r="S443" t="str" cm="1">
        <f t="array" aca="1" ref="S443" ca="1">_xlfn.IFS(AND(Table1[[#This Row],[Tenure]]&gt;=0,Table1[[#This Row],[Tenure]]&lt;=1),"0-1",AND(Table1[[#This Row],[Tenure]]&gt;1,Table1[[#This Row],[Tenure]]&lt;=3),"1-3",AND(Table1[[#This Row],[Tenure]]&gt;3,Table1[[#This Row],[Tenure]]&lt;=5),"3-5",AND(Table1[[#This Row],[Tenure]]&gt;5,Table1[[#This Row],[Tenure]]&lt;=8),"5-8")</f>
        <v>5-8</v>
      </c>
      <c r="T443" t="str" cm="1">
        <f t="array" ref="T443">_xlfn.IFS(AND(Table1[[#This Row],[Salary]]&gt;=180000, Table1[[#This Row],[Salary]] &lt;=500000),"Low (180k-500k)", AND(Table1[[#This Row],[Salary]]&gt;500000, Table1[[#This Row],[Salary]]&lt;=800000), "Medium (501k-800k)", AND(Table1[[#This Row],[Salary]]&gt;800000, Table1[[#This Row],[Salary]]&lt;1200000), "High (801k - 1.2m)")</f>
        <v>High (801k - 1.2m)</v>
      </c>
    </row>
    <row r="444" spans="1:20" x14ac:dyDescent="0.2">
      <c r="A444">
        <v>443</v>
      </c>
      <c r="B444" t="s">
        <v>36</v>
      </c>
      <c r="C444" t="s">
        <v>14</v>
      </c>
      <c r="D444">
        <v>46</v>
      </c>
      <c r="E444" t="s">
        <v>61</v>
      </c>
      <c r="F444" t="s">
        <v>22</v>
      </c>
      <c r="G444">
        <v>251153</v>
      </c>
      <c r="H444" t="s">
        <v>39</v>
      </c>
      <c r="J444" t="s">
        <v>18</v>
      </c>
      <c r="K444">
        <v>1</v>
      </c>
      <c r="L444">
        <v>28</v>
      </c>
      <c r="M444">
        <v>83</v>
      </c>
      <c r="N444">
        <f>IF(Table1[[#This Row],[Employment_Status]]="Exited",1,0)</f>
        <v>0</v>
      </c>
      <c r="O444" t="str" cm="1">
        <f t="array" ref="O444">_xlfn.IFS(AND(Table1[[#This Row],[Age]]&gt;=22,Table1[[#This Row],[Age]]&lt;=35),"22-35",AND(Table1[[#This Row],[Age]]&gt;=36,Table1[[#This Row],[Age]]&lt;=45),"36-45",AND(Table1[[#This Row],[Age]]&gt;=46,Table1[[#This Row],[Age]]&lt;=55),"46-55")</f>
        <v>46-55</v>
      </c>
      <c r="P444">
        <f>IF(Table1[[#This Row],[Employment_Status]]="active",1,0)</f>
        <v>1</v>
      </c>
      <c r="Q444">
        <v>1</v>
      </c>
      <c r="R444" s="6">
        <f ca="1">YEARFRAC(Table1[[#This Row],[Hire_Date]],IF(Table1[[#This Row],[Employment_Status]]="Exited",Table1[[#This Row],[Exit_Date]],TODAY()))</f>
        <v>2.9694444444444446</v>
      </c>
      <c r="S444" t="str" cm="1">
        <f t="array" aca="1" ref="S444" ca="1">_xlfn.IFS(AND(Table1[[#This Row],[Tenure]]&gt;=0,Table1[[#This Row],[Tenure]]&lt;=1),"0-1",AND(Table1[[#This Row],[Tenure]]&gt;1,Table1[[#This Row],[Tenure]]&lt;=3),"1-3",AND(Table1[[#This Row],[Tenure]]&gt;3,Table1[[#This Row],[Tenure]]&lt;=5),"3-5",AND(Table1[[#This Row],[Tenure]]&gt;5,Table1[[#This Row],[Tenure]]&lt;=8),"5-8")</f>
        <v>1-3</v>
      </c>
      <c r="T444" t="str" cm="1">
        <f t="array" ref="T444">_xlfn.IFS(AND(Table1[[#This Row],[Salary]]&gt;=180000, Table1[[#This Row],[Salary]] &lt;=500000),"Low (180k-500k)", AND(Table1[[#This Row],[Salary]]&gt;500000, Table1[[#This Row],[Salary]]&lt;=800000), "Medium (501k-800k)", AND(Table1[[#This Row],[Salary]]&gt;800000, Table1[[#This Row],[Salary]]&lt;1200000), "High (801k - 1.2m)")</f>
        <v>Low (180k-500k)</v>
      </c>
    </row>
    <row r="445" spans="1:20" x14ac:dyDescent="0.2">
      <c r="A445">
        <v>444</v>
      </c>
      <c r="B445" t="s">
        <v>75</v>
      </c>
      <c r="C445" t="s">
        <v>14</v>
      </c>
      <c r="D445">
        <v>47</v>
      </c>
      <c r="E445" t="s">
        <v>21</v>
      </c>
      <c r="F445" t="s">
        <v>34</v>
      </c>
      <c r="G445">
        <v>596584</v>
      </c>
      <c r="H445" t="s">
        <v>489</v>
      </c>
      <c r="J445" t="s">
        <v>18</v>
      </c>
      <c r="K445">
        <v>4</v>
      </c>
      <c r="L445">
        <v>14</v>
      </c>
      <c r="M445">
        <v>75</v>
      </c>
      <c r="N445">
        <f>IF(Table1[[#This Row],[Employment_Status]]="Exited",1,0)</f>
        <v>0</v>
      </c>
      <c r="O445" t="str" cm="1">
        <f t="array" ref="O445">_xlfn.IFS(AND(Table1[[#This Row],[Age]]&gt;=22,Table1[[#This Row],[Age]]&lt;=35),"22-35",AND(Table1[[#This Row],[Age]]&gt;=36,Table1[[#This Row],[Age]]&lt;=45),"36-45",AND(Table1[[#This Row],[Age]]&gt;=46,Table1[[#This Row],[Age]]&lt;=55),"46-55")</f>
        <v>46-55</v>
      </c>
      <c r="P445">
        <f>IF(Table1[[#This Row],[Employment_Status]]="active",1,0)</f>
        <v>1</v>
      </c>
      <c r="Q445">
        <v>1</v>
      </c>
      <c r="R445" s="6">
        <f ca="1">YEARFRAC(Table1[[#This Row],[Hire_Date]],IF(Table1[[#This Row],[Employment_Status]]="Exited",Table1[[#This Row],[Exit_Date]],TODAY()))</f>
        <v>5.1444444444444448</v>
      </c>
      <c r="S445" t="str" cm="1">
        <f t="array" aca="1" ref="S445" ca="1">_xlfn.IFS(AND(Table1[[#This Row],[Tenure]]&gt;=0,Table1[[#This Row],[Tenure]]&lt;=1),"0-1",AND(Table1[[#This Row],[Tenure]]&gt;1,Table1[[#This Row],[Tenure]]&lt;=3),"1-3",AND(Table1[[#This Row],[Tenure]]&gt;3,Table1[[#This Row],[Tenure]]&lt;=5),"3-5",AND(Table1[[#This Row],[Tenure]]&gt;5,Table1[[#This Row],[Tenure]]&lt;=8),"5-8")</f>
        <v>5-8</v>
      </c>
      <c r="T445" t="str" cm="1">
        <f t="array" ref="T445">_xlfn.IFS(AND(Table1[[#This Row],[Salary]]&gt;=180000, Table1[[#This Row],[Salary]] &lt;=500000),"Low (180k-500k)", AND(Table1[[#This Row],[Salary]]&gt;500000, Table1[[#This Row],[Salary]]&lt;=800000), "Medium (501k-800k)", AND(Table1[[#This Row],[Salary]]&gt;800000, Table1[[#This Row],[Salary]]&lt;1200000), "High (801k - 1.2m)")</f>
        <v>Medium (501k-800k)</v>
      </c>
    </row>
    <row r="446" spans="1:20" x14ac:dyDescent="0.2">
      <c r="A446">
        <v>445</v>
      </c>
      <c r="B446" t="s">
        <v>40</v>
      </c>
      <c r="C446" t="s">
        <v>14</v>
      </c>
      <c r="D446">
        <v>52</v>
      </c>
      <c r="E446" t="s">
        <v>45</v>
      </c>
      <c r="F446" t="s">
        <v>22</v>
      </c>
      <c r="G446">
        <v>334454</v>
      </c>
      <c r="H446" t="s">
        <v>490</v>
      </c>
      <c r="J446" t="s">
        <v>18</v>
      </c>
      <c r="K446">
        <v>4</v>
      </c>
      <c r="L446">
        <v>11</v>
      </c>
      <c r="M446">
        <v>95</v>
      </c>
      <c r="N446">
        <f>IF(Table1[[#This Row],[Employment_Status]]="Exited",1,0)</f>
        <v>0</v>
      </c>
      <c r="O446" t="str" cm="1">
        <f t="array" ref="O446">_xlfn.IFS(AND(Table1[[#This Row],[Age]]&gt;=22,Table1[[#This Row],[Age]]&lt;=35),"22-35",AND(Table1[[#This Row],[Age]]&gt;=36,Table1[[#This Row],[Age]]&lt;=45),"36-45",AND(Table1[[#This Row],[Age]]&gt;=46,Table1[[#This Row],[Age]]&lt;=55),"46-55")</f>
        <v>46-55</v>
      </c>
      <c r="P446">
        <f>IF(Table1[[#This Row],[Employment_Status]]="active",1,0)</f>
        <v>1</v>
      </c>
      <c r="Q446">
        <v>1</v>
      </c>
      <c r="R446" s="6">
        <f ca="1">YEARFRAC(Table1[[#This Row],[Hire_Date]],IF(Table1[[#This Row],[Employment_Status]]="Exited",Table1[[#This Row],[Exit_Date]],TODAY()))</f>
        <v>4.6527777777777777</v>
      </c>
      <c r="S446" t="str" cm="1">
        <f t="array" aca="1" ref="S446" ca="1">_xlfn.IFS(AND(Table1[[#This Row],[Tenure]]&gt;=0,Table1[[#This Row],[Tenure]]&lt;=1),"0-1",AND(Table1[[#This Row],[Tenure]]&gt;1,Table1[[#This Row],[Tenure]]&lt;=3),"1-3",AND(Table1[[#This Row],[Tenure]]&gt;3,Table1[[#This Row],[Tenure]]&lt;=5),"3-5",AND(Table1[[#This Row],[Tenure]]&gt;5,Table1[[#This Row],[Tenure]]&lt;=8),"5-8")</f>
        <v>3-5</v>
      </c>
      <c r="T446" t="str" cm="1">
        <f t="array" ref="T446">_xlfn.IFS(AND(Table1[[#This Row],[Salary]]&gt;=180000, Table1[[#This Row],[Salary]] &lt;=500000),"Low (180k-500k)", AND(Table1[[#This Row],[Salary]]&gt;500000, Table1[[#This Row],[Salary]]&lt;=800000), "Medium (501k-800k)", AND(Table1[[#This Row],[Salary]]&gt;800000, Table1[[#This Row],[Salary]]&lt;1200000), "High (801k - 1.2m)")</f>
        <v>Low (180k-500k)</v>
      </c>
    </row>
    <row r="447" spans="1:20" x14ac:dyDescent="0.2">
      <c r="A447">
        <v>446</v>
      </c>
      <c r="B447" t="s">
        <v>29</v>
      </c>
      <c r="C447" t="s">
        <v>14</v>
      </c>
      <c r="D447">
        <v>43</v>
      </c>
      <c r="E447" t="s">
        <v>21</v>
      </c>
      <c r="F447" t="s">
        <v>16</v>
      </c>
      <c r="G447">
        <v>250003</v>
      </c>
      <c r="H447" t="s">
        <v>306</v>
      </c>
      <c r="I447" t="s">
        <v>317</v>
      </c>
      <c r="J447" t="s">
        <v>55</v>
      </c>
      <c r="K447">
        <v>2</v>
      </c>
      <c r="L447">
        <v>24</v>
      </c>
      <c r="M447">
        <v>68</v>
      </c>
      <c r="N447">
        <f>IF(Table1[[#This Row],[Employment_Status]]="Exited",1,0)</f>
        <v>1</v>
      </c>
      <c r="O447" t="str" cm="1">
        <f t="array" ref="O447">_xlfn.IFS(AND(Table1[[#This Row],[Age]]&gt;=22,Table1[[#This Row],[Age]]&lt;=35),"22-35",AND(Table1[[#This Row],[Age]]&gt;=36,Table1[[#This Row],[Age]]&lt;=45),"36-45",AND(Table1[[#This Row],[Age]]&gt;=46,Table1[[#This Row],[Age]]&lt;=55),"46-55")</f>
        <v>36-45</v>
      </c>
      <c r="P447">
        <f>IF(Table1[[#This Row],[Employment_Status]]="active",1,0)</f>
        <v>0</v>
      </c>
      <c r="Q447">
        <v>1</v>
      </c>
      <c r="R447" s="6">
        <f ca="1">YEARFRAC(Table1[[#This Row],[Hire_Date]],IF(Table1[[#This Row],[Employment_Status]]="Exited",Table1[[#This Row],[Exit_Date]],TODAY()))</f>
        <v>2.2722222222222221</v>
      </c>
      <c r="S447" t="str" cm="1">
        <f t="array" aca="1" ref="S447" ca="1">_xlfn.IFS(AND(Table1[[#This Row],[Tenure]]&gt;=0,Table1[[#This Row],[Tenure]]&lt;=1),"0-1",AND(Table1[[#This Row],[Tenure]]&gt;1,Table1[[#This Row],[Tenure]]&lt;=3),"1-3",AND(Table1[[#This Row],[Tenure]]&gt;3,Table1[[#This Row],[Tenure]]&lt;=5),"3-5",AND(Table1[[#This Row],[Tenure]]&gt;5,Table1[[#This Row],[Tenure]]&lt;=8),"5-8")</f>
        <v>1-3</v>
      </c>
      <c r="T447" t="str" cm="1">
        <f t="array" ref="T447">_xlfn.IFS(AND(Table1[[#This Row],[Salary]]&gt;=180000, Table1[[#This Row],[Salary]] &lt;=500000),"Low (180k-500k)", AND(Table1[[#This Row],[Salary]]&gt;500000, Table1[[#This Row],[Salary]]&lt;=800000), "Medium (501k-800k)", AND(Table1[[#This Row],[Salary]]&gt;800000, Table1[[#This Row],[Salary]]&lt;1200000), "High (801k - 1.2m)")</f>
        <v>Low (180k-500k)</v>
      </c>
    </row>
    <row r="448" spans="1:20" x14ac:dyDescent="0.2">
      <c r="A448">
        <v>447</v>
      </c>
      <c r="B448" t="s">
        <v>75</v>
      </c>
      <c r="C448" t="s">
        <v>14</v>
      </c>
      <c r="D448">
        <v>49</v>
      </c>
      <c r="E448" t="s">
        <v>15</v>
      </c>
      <c r="F448" t="s">
        <v>22</v>
      </c>
      <c r="G448">
        <v>1171800</v>
      </c>
      <c r="H448" t="s">
        <v>491</v>
      </c>
      <c r="I448" t="s">
        <v>492</v>
      </c>
      <c r="J448" t="s">
        <v>55</v>
      </c>
      <c r="K448">
        <v>2</v>
      </c>
      <c r="L448">
        <v>17</v>
      </c>
      <c r="M448">
        <v>81</v>
      </c>
      <c r="N448">
        <f>IF(Table1[[#This Row],[Employment_Status]]="Exited",1,0)</f>
        <v>1</v>
      </c>
      <c r="O448" t="str" cm="1">
        <f t="array" ref="O448">_xlfn.IFS(AND(Table1[[#This Row],[Age]]&gt;=22,Table1[[#This Row],[Age]]&lt;=35),"22-35",AND(Table1[[#This Row],[Age]]&gt;=36,Table1[[#This Row],[Age]]&lt;=45),"36-45",AND(Table1[[#This Row],[Age]]&gt;=46,Table1[[#This Row],[Age]]&lt;=55),"46-55")</f>
        <v>46-55</v>
      </c>
      <c r="P448">
        <f>IF(Table1[[#This Row],[Employment_Status]]="active",1,0)</f>
        <v>0</v>
      </c>
      <c r="Q448">
        <v>1</v>
      </c>
      <c r="R448" s="6">
        <f ca="1">YEARFRAC(Table1[[#This Row],[Hire_Date]],IF(Table1[[#This Row],[Employment_Status]]="Exited",Table1[[#This Row],[Exit_Date]],TODAY()))</f>
        <v>2.2472222222222222</v>
      </c>
      <c r="S448" t="str" cm="1">
        <f t="array" aca="1" ref="S448" ca="1">_xlfn.IFS(AND(Table1[[#This Row],[Tenure]]&gt;=0,Table1[[#This Row],[Tenure]]&lt;=1),"0-1",AND(Table1[[#This Row],[Tenure]]&gt;1,Table1[[#This Row],[Tenure]]&lt;=3),"1-3",AND(Table1[[#This Row],[Tenure]]&gt;3,Table1[[#This Row],[Tenure]]&lt;=5),"3-5",AND(Table1[[#This Row],[Tenure]]&gt;5,Table1[[#This Row],[Tenure]]&lt;=8),"5-8")</f>
        <v>1-3</v>
      </c>
      <c r="T448" t="str" cm="1">
        <f t="array" ref="T448">_xlfn.IFS(AND(Table1[[#This Row],[Salary]]&gt;=180000, Table1[[#This Row],[Salary]] &lt;=500000),"Low (180k-500k)", AND(Table1[[#This Row],[Salary]]&gt;500000, Table1[[#This Row],[Salary]]&lt;=800000), "Medium (501k-800k)", AND(Table1[[#This Row],[Salary]]&gt;800000, Table1[[#This Row],[Salary]]&lt;1200000), "High (801k - 1.2m)")</f>
        <v>High (801k - 1.2m)</v>
      </c>
    </row>
    <row r="449" spans="1:20" x14ac:dyDescent="0.2">
      <c r="A449">
        <v>448</v>
      </c>
      <c r="B449" t="s">
        <v>47</v>
      </c>
      <c r="C449" t="s">
        <v>14</v>
      </c>
      <c r="D449">
        <v>31</v>
      </c>
      <c r="E449" t="s">
        <v>45</v>
      </c>
      <c r="F449" t="s">
        <v>16</v>
      </c>
      <c r="G449">
        <v>291623</v>
      </c>
      <c r="H449" t="s">
        <v>493</v>
      </c>
      <c r="J449" t="s">
        <v>18</v>
      </c>
      <c r="K449">
        <v>4</v>
      </c>
      <c r="L449">
        <v>47</v>
      </c>
      <c r="M449">
        <v>78</v>
      </c>
      <c r="N449">
        <f>IF(Table1[[#This Row],[Employment_Status]]="Exited",1,0)</f>
        <v>0</v>
      </c>
      <c r="O449" t="str" cm="1">
        <f t="array" ref="O449">_xlfn.IFS(AND(Table1[[#This Row],[Age]]&gt;=22,Table1[[#This Row],[Age]]&lt;=35),"22-35",AND(Table1[[#This Row],[Age]]&gt;=36,Table1[[#This Row],[Age]]&lt;=45),"36-45",AND(Table1[[#This Row],[Age]]&gt;=46,Table1[[#This Row],[Age]]&lt;=55),"46-55")</f>
        <v>22-35</v>
      </c>
      <c r="P449">
        <f>IF(Table1[[#This Row],[Employment_Status]]="active",1,0)</f>
        <v>1</v>
      </c>
      <c r="Q449">
        <v>1</v>
      </c>
      <c r="R449" s="6">
        <f ca="1">YEARFRAC(Table1[[#This Row],[Hire_Date]],IF(Table1[[#This Row],[Employment_Status]]="Exited",Table1[[#This Row],[Exit_Date]],TODAY()))</f>
        <v>2.8277777777777779</v>
      </c>
      <c r="S449" t="str" cm="1">
        <f t="array" aca="1" ref="S449" ca="1">_xlfn.IFS(AND(Table1[[#This Row],[Tenure]]&gt;=0,Table1[[#This Row],[Tenure]]&lt;=1),"0-1",AND(Table1[[#This Row],[Tenure]]&gt;1,Table1[[#This Row],[Tenure]]&lt;=3),"1-3",AND(Table1[[#This Row],[Tenure]]&gt;3,Table1[[#This Row],[Tenure]]&lt;=5),"3-5",AND(Table1[[#This Row],[Tenure]]&gt;5,Table1[[#This Row],[Tenure]]&lt;=8),"5-8")</f>
        <v>1-3</v>
      </c>
      <c r="T449" t="str" cm="1">
        <f t="array" ref="T449">_xlfn.IFS(AND(Table1[[#This Row],[Salary]]&gt;=180000, Table1[[#This Row],[Salary]] &lt;=500000),"Low (180k-500k)", AND(Table1[[#This Row],[Salary]]&gt;500000, Table1[[#This Row],[Salary]]&lt;=800000), "Medium (501k-800k)", AND(Table1[[#This Row],[Salary]]&gt;800000, Table1[[#This Row],[Salary]]&lt;1200000), "High (801k - 1.2m)")</f>
        <v>Low (180k-500k)</v>
      </c>
    </row>
    <row r="450" spans="1:20" x14ac:dyDescent="0.2">
      <c r="A450">
        <v>449</v>
      </c>
      <c r="B450" t="s">
        <v>33</v>
      </c>
      <c r="C450" t="s">
        <v>20</v>
      </c>
      <c r="D450">
        <v>43</v>
      </c>
      <c r="E450" t="s">
        <v>21</v>
      </c>
      <c r="F450" t="s">
        <v>16</v>
      </c>
      <c r="G450">
        <v>666474</v>
      </c>
      <c r="H450" t="s">
        <v>494</v>
      </c>
      <c r="I450" t="s">
        <v>495</v>
      </c>
      <c r="J450" t="s">
        <v>55</v>
      </c>
      <c r="K450">
        <v>3</v>
      </c>
      <c r="L450">
        <v>14</v>
      </c>
      <c r="M450">
        <v>100</v>
      </c>
      <c r="N450">
        <f>IF(Table1[[#This Row],[Employment_Status]]="Exited",1,0)</f>
        <v>1</v>
      </c>
      <c r="O450" t="str" cm="1">
        <f t="array" ref="O450">_xlfn.IFS(AND(Table1[[#This Row],[Age]]&gt;=22,Table1[[#This Row],[Age]]&lt;=35),"22-35",AND(Table1[[#This Row],[Age]]&gt;=36,Table1[[#This Row],[Age]]&lt;=45),"36-45",AND(Table1[[#This Row],[Age]]&gt;=46,Table1[[#This Row],[Age]]&lt;=55),"46-55")</f>
        <v>36-45</v>
      </c>
      <c r="P450">
        <f>IF(Table1[[#This Row],[Employment_Status]]="active",1,0)</f>
        <v>0</v>
      </c>
      <c r="Q450">
        <v>1</v>
      </c>
      <c r="R450" s="6">
        <f ca="1">YEARFRAC(Table1[[#This Row],[Hire_Date]],IF(Table1[[#This Row],[Employment_Status]]="Exited",Table1[[#This Row],[Exit_Date]],TODAY()))</f>
        <v>2.8944444444444444</v>
      </c>
      <c r="S450" t="str" cm="1">
        <f t="array" aca="1" ref="S450" ca="1">_xlfn.IFS(AND(Table1[[#This Row],[Tenure]]&gt;=0,Table1[[#This Row],[Tenure]]&lt;=1),"0-1",AND(Table1[[#This Row],[Tenure]]&gt;1,Table1[[#This Row],[Tenure]]&lt;=3),"1-3",AND(Table1[[#This Row],[Tenure]]&gt;3,Table1[[#This Row],[Tenure]]&lt;=5),"3-5",AND(Table1[[#This Row],[Tenure]]&gt;5,Table1[[#This Row],[Tenure]]&lt;=8),"5-8")</f>
        <v>1-3</v>
      </c>
      <c r="T450" t="str" cm="1">
        <f t="array" ref="T450">_xlfn.IFS(AND(Table1[[#This Row],[Salary]]&gt;=180000, Table1[[#This Row],[Salary]] &lt;=500000),"Low (180k-500k)", AND(Table1[[#This Row],[Salary]]&gt;500000, Table1[[#This Row],[Salary]]&lt;=800000), "Medium (501k-800k)", AND(Table1[[#This Row],[Salary]]&gt;800000, Table1[[#This Row],[Salary]]&lt;1200000), "High (801k - 1.2m)")</f>
        <v>Medium (501k-800k)</v>
      </c>
    </row>
    <row r="451" spans="1:20" x14ac:dyDescent="0.2">
      <c r="A451">
        <v>450</v>
      </c>
      <c r="B451" t="s">
        <v>31</v>
      </c>
      <c r="C451" t="s">
        <v>20</v>
      </c>
      <c r="D451">
        <v>40</v>
      </c>
      <c r="E451" t="s">
        <v>21</v>
      </c>
      <c r="F451" t="s">
        <v>34</v>
      </c>
      <c r="G451">
        <v>316445</v>
      </c>
      <c r="H451" t="s">
        <v>496</v>
      </c>
      <c r="J451" t="s">
        <v>18</v>
      </c>
      <c r="K451">
        <v>4</v>
      </c>
      <c r="L451">
        <v>13</v>
      </c>
      <c r="M451">
        <v>80</v>
      </c>
      <c r="N451">
        <f>IF(Table1[[#This Row],[Employment_Status]]="Exited",1,0)</f>
        <v>0</v>
      </c>
      <c r="O451" t="str" cm="1">
        <f t="array" ref="O451">_xlfn.IFS(AND(Table1[[#This Row],[Age]]&gt;=22,Table1[[#This Row],[Age]]&lt;=35),"22-35",AND(Table1[[#This Row],[Age]]&gt;=36,Table1[[#This Row],[Age]]&lt;=45),"36-45",AND(Table1[[#This Row],[Age]]&gt;=46,Table1[[#This Row],[Age]]&lt;=55),"46-55")</f>
        <v>36-45</v>
      </c>
      <c r="P451">
        <f>IF(Table1[[#This Row],[Employment_Status]]="active",1,0)</f>
        <v>1</v>
      </c>
      <c r="Q451">
        <v>1</v>
      </c>
      <c r="R451" s="6">
        <f ca="1">YEARFRAC(Table1[[#This Row],[Hire_Date]],IF(Table1[[#This Row],[Employment_Status]]="Exited",Table1[[#This Row],[Exit_Date]],TODAY()))</f>
        <v>6.2944444444444443</v>
      </c>
      <c r="S451" t="str" cm="1">
        <f t="array" aca="1" ref="S451" ca="1">_xlfn.IFS(AND(Table1[[#This Row],[Tenure]]&gt;=0,Table1[[#This Row],[Tenure]]&lt;=1),"0-1",AND(Table1[[#This Row],[Tenure]]&gt;1,Table1[[#This Row],[Tenure]]&lt;=3),"1-3",AND(Table1[[#This Row],[Tenure]]&gt;3,Table1[[#This Row],[Tenure]]&lt;=5),"3-5",AND(Table1[[#This Row],[Tenure]]&gt;5,Table1[[#This Row],[Tenure]]&lt;=8),"5-8")</f>
        <v>5-8</v>
      </c>
      <c r="T451" t="str" cm="1">
        <f t="array" ref="T451">_xlfn.IFS(AND(Table1[[#This Row],[Salary]]&gt;=180000, Table1[[#This Row],[Salary]] &lt;=500000),"Low (180k-500k)", AND(Table1[[#This Row],[Salary]]&gt;500000, Table1[[#This Row],[Salary]]&lt;=800000), "Medium (501k-800k)", AND(Table1[[#This Row],[Salary]]&gt;800000, Table1[[#This Row],[Salary]]&lt;1200000), "High (801k - 1.2m)")</f>
        <v>Low (180k-500k)</v>
      </c>
    </row>
    <row r="452" spans="1:20" x14ac:dyDescent="0.2">
      <c r="A452">
        <v>451</v>
      </c>
      <c r="B452" t="s">
        <v>47</v>
      </c>
      <c r="C452" t="s">
        <v>20</v>
      </c>
      <c r="D452">
        <v>55</v>
      </c>
      <c r="E452" t="s">
        <v>21</v>
      </c>
      <c r="F452" t="s">
        <v>34</v>
      </c>
      <c r="G452">
        <v>340085</v>
      </c>
      <c r="H452" t="s">
        <v>497</v>
      </c>
      <c r="J452" t="s">
        <v>18</v>
      </c>
      <c r="K452">
        <v>2</v>
      </c>
      <c r="L452">
        <v>18</v>
      </c>
      <c r="M452">
        <v>71</v>
      </c>
      <c r="N452">
        <f>IF(Table1[[#This Row],[Employment_Status]]="Exited",1,0)</f>
        <v>0</v>
      </c>
      <c r="O452" t="str" cm="1">
        <f t="array" ref="O452">_xlfn.IFS(AND(Table1[[#This Row],[Age]]&gt;=22,Table1[[#This Row],[Age]]&lt;=35),"22-35",AND(Table1[[#This Row],[Age]]&gt;=36,Table1[[#This Row],[Age]]&lt;=45),"36-45",AND(Table1[[#This Row],[Age]]&gt;=46,Table1[[#This Row],[Age]]&lt;=55),"46-55")</f>
        <v>46-55</v>
      </c>
      <c r="P452">
        <f>IF(Table1[[#This Row],[Employment_Status]]="active",1,0)</f>
        <v>1</v>
      </c>
      <c r="Q452">
        <v>1</v>
      </c>
      <c r="R452" s="6">
        <f ca="1">YEARFRAC(Table1[[#This Row],[Hire_Date]],IF(Table1[[#This Row],[Employment_Status]]="Exited",Table1[[#This Row],[Exit_Date]],TODAY()))</f>
        <v>5.125</v>
      </c>
      <c r="S452" t="str" cm="1">
        <f t="array" aca="1" ref="S452" ca="1">_xlfn.IFS(AND(Table1[[#This Row],[Tenure]]&gt;=0,Table1[[#This Row],[Tenure]]&lt;=1),"0-1",AND(Table1[[#This Row],[Tenure]]&gt;1,Table1[[#This Row],[Tenure]]&lt;=3),"1-3",AND(Table1[[#This Row],[Tenure]]&gt;3,Table1[[#This Row],[Tenure]]&lt;=5),"3-5",AND(Table1[[#This Row],[Tenure]]&gt;5,Table1[[#This Row],[Tenure]]&lt;=8),"5-8")</f>
        <v>5-8</v>
      </c>
      <c r="T452" t="str" cm="1">
        <f t="array" ref="T452">_xlfn.IFS(AND(Table1[[#This Row],[Salary]]&gt;=180000, Table1[[#This Row],[Salary]] &lt;=500000),"Low (180k-500k)", AND(Table1[[#This Row],[Salary]]&gt;500000, Table1[[#This Row],[Salary]]&lt;=800000), "Medium (501k-800k)", AND(Table1[[#This Row],[Salary]]&gt;800000, Table1[[#This Row],[Salary]]&lt;1200000), "High (801k - 1.2m)")</f>
        <v>Low (180k-500k)</v>
      </c>
    </row>
    <row r="453" spans="1:20" x14ac:dyDescent="0.2">
      <c r="A453">
        <v>452</v>
      </c>
      <c r="B453" t="s">
        <v>26</v>
      </c>
      <c r="C453" t="s">
        <v>14</v>
      </c>
      <c r="D453">
        <v>30</v>
      </c>
      <c r="E453" t="s">
        <v>15</v>
      </c>
      <c r="F453" t="s">
        <v>34</v>
      </c>
      <c r="G453">
        <v>772621</v>
      </c>
      <c r="H453" t="s">
        <v>101</v>
      </c>
      <c r="J453" t="s">
        <v>18</v>
      </c>
      <c r="K453">
        <v>2</v>
      </c>
      <c r="L453">
        <v>3</v>
      </c>
      <c r="M453">
        <v>72</v>
      </c>
      <c r="N453">
        <f>IF(Table1[[#This Row],[Employment_Status]]="Exited",1,0)</f>
        <v>0</v>
      </c>
      <c r="O453" t="str" cm="1">
        <f t="array" ref="O453">_xlfn.IFS(AND(Table1[[#This Row],[Age]]&gt;=22,Table1[[#This Row],[Age]]&lt;=35),"22-35",AND(Table1[[#This Row],[Age]]&gt;=36,Table1[[#This Row],[Age]]&lt;=45),"36-45",AND(Table1[[#This Row],[Age]]&gt;=46,Table1[[#This Row],[Age]]&lt;=55),"46-55")</f>
        <v>22-35</v>
      </c>
      <c r="P453">
        <f>IF(Table1[[#This Row],[Employment_Status]]="active",1,0)</f>
        <v>1</v>
      </c>
      <c r="Q453">
        <v>1</v>
      </c>
      <c r="R453" s="6">
        <f ca="1">YEARFRAC(Table1[[#This Row],[Hire_Date]],IF(Table1[[#This Row],[Employment_Status]]="Exited",Table1[[#This Row],[Exit_Date]],TODAY()))</f>
        <v>2.6277777777777778</v>
      </c>
      <c r="S453" t="str" cm="1">
        <f t="array" aca="1" ref="S453" ca="1">_xlfn.IFS(AND(Table1[[#This Row],[Tenure]]&gt;=0,Table1[[#This Row],[Tenure]]&lt;=1),"0-1",AND(Table1[[#This Row],[Tenure]]&gt;1,Table1[[#This Row],[Tenure]]&lt;=3),"1-3",AND(Table1[[#This Row],[Tenure]]&gt;3,Table1[[#This Row],[Tenure]]&lt;=5),"3-5",AND(Table1[[#This Row],[Tenure]]&gt;5,Table1[[#This Row],[Tenure]]&lt;=8),"5-8")</f>
        <v>1-3</v>
      </c>
      <c r="T453" t="str" cm="1">
        <f t="array" ref="T453">_xlfn.IFS(AND(Table1[[#This Row],[Salary]]&gt;=180000, Table1[[#This Row],[Salary]] &lt;=500000),"Low (180k-500k)", AND(Table1[[#This Row],[Salary]]&gt;500000, Table1[[#This Row],[Salary]]&lt;=800000), "Medium (501k-800k)", AND(Table1[[#This Row],[Salary]]&gt;800000, Table1[[#This Row],[Salary]]&lt;1200000), "High (801k - 1.2m)")</f>
        <v>Medium (501k-800k)</v>
      </c>
    </row>
    <row r="454" spans="1:20" x14ac:dyDescent="0.2">
      <c r="A454">
        <v>453</v>
      </c>
      <c r="B454" t="s">
        <v>75</v>
      </c>
      <c r="C454" t="s">
        <v>20</v>
      </c>
      <c r="D454">
        <v>48</v>
      </c>
      <c r="E454" t="s">
        <v>21</v>
      </c>
      <c r="F454" t="s">
        <v>22</v>
      </c>
      <c r="G454">
        <v>528944</v>
      </c>
      <c r="H454" t="s">
        <v>498</v>
      </c>
      <c r="I454" t="s">
        <v>499</v>
      </c>
      <c r="J454" t="s">
        <v>55</v>
      </c>
      <c r="K454">
        <v>4</v>
      </c>
      <c r="L454">
        <v>32</v>
      </c>
      <c r="M454">
        <v>91</v>
      </c>
      <c r="N454">
        <f>IF(Table1[[#This Row],[Employment_Status]]="Exited",1,0)</f>
        <v>1</v>
      </c>
      <c r="O454" t="str" cm="1">
        <f t="array" ref="O454">_xlfn.IFS(AND(Table1[[#This Row],[Age]]&gt;=22,Table1[[#This Row],[Age]]&lt;=35),"22-35",AND(Table1[[#This Row],[Age]]&gt;=36,Table1[[#This Row],[Age]]&lt;=45),"36-45",AND(Table1[[#This Row],[Age]]&gt;=46,Table1[[#This Row],[Age]]&lt;=55),"46-55")</f>
        <v>46-55</v>
      </c>
      <c r="P454">
        <f>IF(Table1[[#This Row],[Employment_Status]]="active",1,0)</f>
        <v>0</v>
      </c>
      <c r="Q454">
        <v>1</v>
      </c>
      <c r="R454" s="6">
        <f ca="1">YEARFRAC(Table1[[#This Row],[Hire_Date]],IF(Table1[[#This Row],[Employment_Status]]="Exited",Table1[[#This Row],[Exit_Date]],TODAY()))</f>
        <v>1.5333333333333334</v>
      </c>
      <c r="S454" t="str" cm="1">
        <f t="array" aca="1" ref="S454" ca="1">_xlfn.IFS(AND(Table1[[#This Row],[Tenure]]&gt;=0,Table1[[#This Row],[Tenure]]&lt;=1),"0-1",AND(Table1[[#This Row],[Tenure]]&gt;1,Table1[[#This Row],[Tenure]]&lt;=3),"1-3",AND(Table1[[#This Row],[Tenure]]&gt;3,Table1[[#This Row],[Tenure]]&lt;=5),"3-5",AND(Table1[[#This Row],[Tenure]]&gt;5,Table1[[#This Row],[Tenure]]&lt;=8),"5-8")</f>
        <v>1-3</v>
      </c>
      <c r="T454" t="str" cm="1">
        <f t="array" ref="T454">_xlfn.IFS(AND(Table1[[#This Row],[Salary]]&gt;=180000, Table1[[#This Row],[Salary]] &lt;=500000),"Low (180k-500k)", AND(Table1[[#This Row],[Salary]]&gt;500000, Table1[[#This Row],[Salary]]&lt;=800000), "Medium (501k-800k)", AND(Table1[[#This Row],[Salary]]&gt;800000, Table1[[#This Row],[Salary]]&lt;1200000), "High (801k - 1.2m)")</f>
        <v>Medium (501k-800k)</v>
      </c>
    </row>
    <row r="455" spans="1:20" x14ac:dyDescent="0.2">
      <c r="A455">
        <v>454</v>
      </c>
      <c r="B455" t="s">
        <v>13</v>
      </c>
      <c r="C455" t="s">
        <v>14</v>
      </c>
      <c r="D455">
        <v>31</v>
      </c>
      <c r="E455" t="s">
        <v>21</v>
      </c>
      <c r="F455" t="s">
        <v>27</v>
      </c>
      <c r="G455">
        <v>575268</v>
      </c>
      <c r="H455" t="s">
        <v>500</v>
      </c>
      <c r="I455" t="s">
        <v>501</v>
      </c>
      <c r="J455" t="s">
        <v>55</v>
      </c>
      <c r="K455">
        <v>1</v>
      </c>
      <c r="L455">
        <v>15</v>
      </c>
      <c r="M455">
        <v>83</v>
      </c>
      <c r="N455">
        <f>IF(Table1[[#This Row],[Employment_Status]]="Exited",1,0)</f>
        <v>1</v>
      </c>
      <c r="O455" t="str" cm="1">
        <f t="array" ref="O455">_xlfn.IFS(AND(Table1[[#This Row],[Age]]&gt;=22,Table1[[#This Row],[Age]]&lt;=35),"22-35",AND(Table1[[#This Row],[Age]]&gt;=36,Table1[[#This Row],[Age]]&lt;=45),"36-45",AND(Table1[[#This Row],[Age]]&gt;=46,Table1[[#This Row],[Age]]&lt;=55),"46-55")</f>
        <v>22-35</v>
      </c>
      <c r="P455">
        <f>IF(Table1[[#This Row],[Employment_Status]]="active",1,0)</f>
        <v>0</v>
      </c>
      <c r="Q455">
        <v>1</v>
      </c>
      <c r="R455" s="6">
        <f ca="1">YEARFRAC(Table1[[#This Row],[Hire_Date]],IF(Table1[[#This Row],[Employment_Status]]="Exited",Table1[[#This Row],[Exit_Date]],TODAY()))</f>
        <v>2.5222222222222221</v>
      </c>
      <c r="S455" t="str" cm="1">
        <f t="array" aca="1" ref="S455" ca="1">_xlfn.IFS(AND(Table1[[#This Row],[Tenure]]&gt;=0,Table1[[#This Row],[Tenure]]&lt;=1),"0-1",AND(Table1[[#This Row],[Tenure]]&gt;1,Table1[[#This Row],[Tenure]]&lt;=3),"1-3",AND(Table1[[#This Row],[Tenure]]&gt;3,Table1[[#This Row],[Tenure]]&lt;=5),"3-5",AND(Table1[[#This Row],[Tenure]]&gt;5,Table1[[#This Row],[Tenure]]&lt;=8),"5-8")</f>
        <v>1-3</v>
      </c>
      <c r="T455" t="str" cm="1">
        <f t="array" ref="T455">_xlfn.IFS(AND(Table1[[#This Row],[Salary]]&gt;=180000, Table1[[#This Row],[Salary]] &lt;=500000),"Low (180k-500k)", AND(Table1[[#This Row],[Salary]]&gt;500000, Table1[[#This Row],[Salary]]&lt;=800000), "Medium (501k-800k)", AND(Table1[[#This Row],[Salary]]&gt;800000, Table1[[#This Row],[Salary]]&lt;1200000), "High (801k - 1.2m)")</f>
        <v>Medium (501k-800k)</v>
      </c>
    </row>
    <row r="456" spans="1:20" x14ac:dyDescent="0.2">
      <c r="A456">
        <v>455</v>
      </c>
      <c r="B456" t="s">
        <v>36</v>
      </c>
      <c r="C456" t="s">
        <v>20</v>
      </c>
      <c r="D456">
        <v>25</v>
      </c>
      <c r="E456" t="s">
        <v>21</v>
      </c>
      <c r="F456" t="s">
        <v>34</v>
      </c>
      <c r="G456">
        <v>325280</v>
      </c>
      <c r="H456" t="s">
        <v>502</v>
      </c>
      <c r="J456" t="s">
        <v>18</v>
      </c>
      <c r="K456">
        <v>4</v>
      </c>
      <c r="L456">
        <v>35</v>
      </c>
      <c r="M456">
        <v>92</v>
      </c>
      <c r="N456">
        <f>IF(Table1[[#This Row],[Employment_Status]]="Exited",1,0)</f>
        <v>0</v>
      </c>
      <c r="O456" t="str" cm="1">
        <f t="array" ref="O456">_xlfn.IFS(AND(Table1[[#This Row],[Age]]&gt;=22,Table1[[#This Row],[Age]]&lt;=35),"22-35",AND(Table1[[#This Row],[Age]]&gt;=36,Table1[[#This Row],[Age]]&lt;=45),"36-45",AND(Table1[[#This Row],[Age]]&gt;=46,Table1[[#This Row],[Age]]&lt;=55),"46-55")</f>
        <v>22-35</v>
      </c>
      <c r="P456">
        <f>IF(Table1[[#This Row],[Employment_Status]]="active",1,0)</f>
        <v>1</v>
      </c>
      <c r="Q456">
        <v>1</v>
      </c>
      <c r="R456" s="6">
        <f ca="1">YEARFRAC(Table1[[#This Row],[Hire_Date]],IF(Table1[[#This Row],[Employment_Status]]="Exited",Table1[[#This Row],[Exit_Date]],TODAY()))</f>
        <v>6.5666666666666664</v>
      </c>
      <c r="S456" t="str" cm="1">
        <f t="array" aca="1" ref="S456" ca="1">_xlfn.IFS(AND(Table1[[#This Row],[Tenure]]&gt;=0,Table1[[#This Row],[Tenure]]&lt;=1),"0-1",AND(Table1[[#This Row],[Tenure]]&gt;1,Table1[[#This Row],[Tenure]]&lt;=3),"1-3",AND(Table1[[#This Row],[Tenure]]&gt;3,Table1[[#This Row],[Tenure]]&lt;=5),"3-5",AND(Table1[[#This Row],[Tenure]]&gt;5,Table1[[#This Row],[Tenure]]&lt;=8),"5-8")</f>
        <v>5-8</v>
      </c>
      <c r="T456" t="str" cm="1">
        <f t="array" ref="T456">_xlfn.IFS(AND(Table1[[#This Row],[Salary]]&gt;=180000, Table1[[#This Row],[Salary]] &lt;=500000),"Low (180k-500k)", AND(Table1[[#This Row],[Salary]]&gt;500000, Table1[[#This Row],[Salary]]&lt;=800000), "Medium (501k-800k)", AND(Table1[[#This Row],[Salary]]&gt;800000, Table1[[#This Row],[Salary]]&lt;1200000), "High (801k - 1.2m)")</f>
        <v>Low (180k-500k)</v>
      </c>
    </row>
    <row r="457" spans="1:20" x14ac:dyDescent="0.2">
      <c r="A457">
        <v>456</v>
      </c>
      <c r="B457" t="s">
        <v>40</v>
      </c>
      <c r="C457" t="s">
        <v>20</v>
      </c>
      <c r="D457">
        <v>26</v>
      </c>
      <c r="E457" t="s">
        <v>61</v>
      </c>
      <c r="F457" t="s">
        <v>27</v>
      </c>
      <c r="G457">
        <v>350648</v>
      </c>
      <c r="H457" t="s">
        <v>503</v>
      </c>
      <c r="J457" t="s">
        <v>18</v>
      </c>
      <c r="K457">
        <v>4</v>
      </c>
      <c r="L457">
        <v>30</v>
      </c>
      <c r="M457">
        <v>89</v>
      </c>
      <c r="N457">
        <f>IF(Table1[[#This Row],[Employment_Status]]="Exited",1,0)</f>
        <v>0</v>
      </c>
      <c r="O457" t="str" cm="1">
        <f t="array" ref="O457">_xlfn.IFS(AND(Table1[[#This Row],[Age]]&gt;=22,Table1[[#This Row],[Age]]&lt;=35),"22-35",AND(Table1[[#This Row],[Age]]&gt;=36,Table1[[#This Row],[Age]]&lt;=45),"36-45",AND(Table1[[#This Row],[Age]]&gt;=46,Table1[[#This Row],[Age]]&lt;=55),"46-55")</f>
        <v>22-35</v>
      </c>
      <c r="P457">
        <f>IF(Table1[[#This Row],[Employment_Status]]="active",1,0)</f>
        <v>1</v>
      </c>
      <c r="Q457">
        <v>1</v>
      </c>
      <c r="R457" s="6">
        <f ca="1">YEARFRAC(Table1[[#This Row],[Hire_Date]],IF(Table1[[#This Row],[Employment_Status]]="Exited",Table1[[#This Row],[Exit_Date]],TODAY()))</f>
        <v>5.9361111111111109</v>
      </c>
      <c r="S457" t="str" cm="1">
        <f t="array" aca="1" ref="S457" ca="1">_xlfn.IFS(AND(Table1[[#This Row],[Tenure]]&gt;=0,Table1[[#This Row],[Tenure]]&lt;=1),"0-1",AND(Table1[[#This Row],[Tenure]]&gt;1,Table1[[#This Row],[Tenure]]&lt;=3),"1-3",AND(Table1[[#This Row],[Tenure]]&gt;3,Table1[[#This Row],[Tenure]]&lt;=5),"3-5",AND(Table1[[#This Row],[Tenure]]&gt;5,Table1[[#This Row],[Tenure]]&lt;=8),"5-8")</f>
        <v>5-8</v>
      </c>
      <c r="T457" t="str" cm="1">
        <f t="array" ref="T457">_xlfn.IFS(AND(Table1[[#This Row],[Salary]]&gt;=180000, Table1[[#This Row],[Salary]] &lt;=500000),"Low (180k-500k)", AND(Table1[[#This Row],[Salary]]&gt;500000, Table1[[#This Row],[Salary]]&lt;=800000), "Medium (501k-800k)", AND(Table1[[#This Row],[Salary]]&gt;800000, Table1[[#This Row],[Salary]]&lt;1200000), "High (801k - 1.2m)")</f>
        <v>Low (180k-500k)</v>
      </c>
    </row>
    <row r="458" spans="1:20" x14ac:dyDescent="0.2">
      <c r="A458">
        <v>457</v>
      </c>
      <c r="B458" t="s">
        <v>58</v>
      </c>
      <c r="C458" t="s">
        <v>14</v>
      </c>
      <c r="D458">
        <v>51</v>
      </c>
      <c r="E458" t="s">
        <v>45</v>
      </c>
      <c r="F458" t="s">
        <v>22</v>
      </c>
      <c r="G458">
        <v>477967</v>
      </c>
      <c r="H458" t="s">
        <v>504</v>
      </c>
      <c r="I458" t="s">
        <v>505</v>
      </c>
      <c r="J458" t="s">
        <v>55</v>
      </c>
      <c r="K458">
        <v>4</v>
      </c>
      <c r="L458">
        <v>40</v>
      </c>
      <c r="M458">
        <v>83</v>
      </c>
      <c r="N458">
        <f>IF(Table1[[#This Row],[Employment_Status]]="Exited",1,0)</f>
        <v>1</v>
      </c>
      <c r="O458" t="str" cm="1">
        <f t="array" ref="O458">_xlfn.IFS(AND(Table1[[#This Row],[Age]]&gt;=22,Table1[[#This Row],[Age]]&lt;=35),"22-35",AND(Table1[[#This Row],[Age]]&gt;=36,Table1[[#This Row],[Age]]&lt;=45),"36-45",AND(Table1[[#This Row],[Age]]&gt;=46,Table1[[#This Row],[Age]]&lt;=55),"46-55")</f>
        <v>46-55</v>
      </c>
      <c r="P458">
        <f>IF(Table1[[#This Row],[Employment_Status]]="active",1,0)</f>
        <v>0</v>
      </c>
      <c r="Q458">
        <v>1</v>
      </c>
      <c r="R458" s="6">
        <f ca="1">YEARFRAC(Table1[[#This Row],[Hire_Date]],IF(Table1[[#This Row],[Employment_Status]]="Exited",Table1[[#This Row],[Exit_Date]],TODAY()))</f>
        <v>1.1416666666666666</v>
      </c>
      <c r="S458" t="str" cm="1">
        <f t="array" aca="1" ref="S458" ca="1">_xlfn.IFS(AND(Table1[[#This Row],[Tenure]]&gt;=0,Table1[[#This Row],[Tenure]]&lt;=1),"0-1",AND(Table1[[#This Row],[Tenure]]&gt;1,Table1[[#This Row],[Tenure]]&lt;=3),"1-3",AND(Table1[[#This Row],[Tenure]]&gt;3,Table1[[#This Row],[Tenure]]&lt;=5),"3-5",AND(Table1[[#This Row],[Tenure]]&gt;5,Table1[[#This Row],[Tenure]]&lt;=8),"5-8")</f>
        <v>1-3</v>
      </c>
      <c r="T458" t="str" cm="1">
        <f t="array" ref="T458">_xlfn.IFS(AND(Table1[[#This Row],[Salary]]&gt;=180000, Table1[[#This Row],[Salary]] &lt;=500000),"Low (180k-500k)", AND(Table1[[#This Row],[Salary]]&gt;500000, Table1[[#This Row],[Salary]]&lt;=800000), "Medium (501k-800k)", AND(Table1[[#This Row],[Salary]]&gt;800000, Table1[[#This Row],[Salary]]&lt;1200000), "High (801k - 1.2m)")</f>
        <v>Low (180k-500k)</v>
      </c>
    </row>
    <row r="459" spans="1:20" x14ac:dyDescent="0.2">
      <c r="A459">
        <v>458</v>
      </c>
      <c r="B459" t="s">
        <v>19</v>
      </c>
      <c r="C459" t="s">
        <v>20</v>
      </c>
      <c r="D459">
        <v>26</v>
      </c>
      <c r="E459" t="s">
        <v>49</v>
      </c>
      <c r="F459" t="s">
        <v>34</v>
      </c>
      <c r="G459">
        <v>549168</v>
      </c>
      <c r="H459" t="s">
        <v>506</v>
      </c>
      <c r="J459" t="s">
        <v>18</v>
      </c>
      <c r="K459">
        <v>3</v>
      </c>
      <c r="L459">
        <v>13</v>
      </c>
      <c r="M459">
        <v>99</v>
      </c>
      <c r="N459">
        <f>IF(Table1[[#This Row],[Employment_Status]]="Exited",1,0)</f>
        <v>0</v>
      </c>
      <c r="O459" t="str" cm="1">
        <f t="array" ref="O459">_xlfn.IFS(AND(Table1[[#This Row],[Age]]&gt;=22,Table1[[#This Row],[Age]]&lt;=35),"22-35",AND(Table1[[#This Row],[Age]]&gt;=36,Table1[[#This Row],[Age]]&lt;=45),"36-45",AND(Table1[[#This Row],[Age]]&gt;=46,Table1[[#This Row],[Age]]&lt;=55),"46-55")</f>
        <v>22-35</v>
      </c>
      <c r="P459">
        <f>IF(Table1[[#This Row],[Employment_Status]]="active",1,0)</f>
        <v>1</v>
      </c>
      <c r="Q459">
        <v>1</v>
      </c>
      <c r="R459" s="6">
        <f ca="1">YEARFRAC(Table1[[#This Row],[Hire_Date]],IF(Table1[[#This Row],[Employment_Status]]="Exited",Table1[[#This Row],[Exit_Date]],TODAY()))</f>
        <v>5.6722222222222225</v>
      </c>
      <c r="S459" t="str" cm="1">
        <f t="array" aca="1" ref="S459" ca="1">_xlfn.IFS(AND(Table1[[#This Row],[Tenure]]&gt;=0,Table1[[#This Row],[Tenure]]&lt;=1),"0-1",AND(Table1[[#This Row],[Tenure]]&gt;1,Table1[[#This Row],[Tenure]]&lt;=3),"1-3",AND(Table1[[#This Row],[Tenure]]&gt;3,Table1[[#This Row],[Tenure]]&lt;=5),"3-5",AND(Table1[[#This Row],[Tenure]]&gt;5,Table1[[#This Row],[Tenure]]&lt;=8),"5-8")</f>
        <v>5-8</v>
      </c>
      <c r="T459" t="str" cm="1">
        <f t="array" ref="T459">_xlfn.IFS(AND(Table1[[#This Row],[Salary]]&gt;=180000, Table1[[#This Row],[Salary]] &lt;=500000),"Low (180k-500k)", AND(Table1[[#This Row],[Salary]]&gt;500000, Table1[[#This Row],[Salary]]&lt;=800000), "Medium (501k-800k)", AND(Table1[[#This Row],[Salary]]&gt;800000, Table1[[#This Row],[Salary]]&lt;1200000), "High (801k - 1.2m)")</f>
        <v>Medium (501k-800k)</v>
      </c>
    </row>
    <row r="460" spans="1:20" x14ac:dyDescent="0.2">
      <c r="A460">
        <v>459</v>
      </c>
      <c r="B460" t="s">
        <v>19</v>
      </c>
      <c r="C460" t="s">
        <v>20</v>
      </c>
      <c r="D460">
        <v>47</v>
      </c>
      <c r="E460" t="s">
        <v>45</v>
      </c>
      <c r="F460" t="s">
        <v>27</v>
      </c>
      <c r="G460">
        <v>216097</v>
      </c>
      <c r="H460" t="s">
        <v>507</v>
      </c>
      <c r="J460" t="s">
        <v>18</v>
      </c>
      <c r="K460">
        <v>2</v>
      </c>
      <c r="L460">
        <v>5</v>
      </c>
      <c r="M460">
        <v>82</v>
      </c>
      <c r="N460">
        <f>IF(Table1[[#This Row],[Employment_Status]]="Exited",1,0)</f>
        <v>0</v>
      </c>
      <c r="O460" t="str" cm="1">
        <f t="array" ref="O460">_xlfn.IFS(AND(Table1[[#This Row],[Age]]&gt;=22,Table1[[#This Row],[Age]]&lt;=35),"22-35",AND(Table1[[#This Row],[Age]]&gt;=36,Table1[[#This Row],[Age]]&lt;=45),"36-45",AND(Table1[[#This Row],[Age]]&gt;=46,Table1[[#This Row],[Age]]&lt;=55),"46-55")</f>
        <v>46-55</v>
      </c>
      <c r="P460">
        <f>IF(Table1[[#This Row],[Employment_Status]]="active",1,0)</f>
        <v>1</v>
      </c>
      <c r="Q460">
        <v>1</v>
      </c>
      <c r="R460" s="6">
        <f ca="1">YEARFRAC(Table1[[#This Row],[Hire_Date]],IF(Table1[[#This Row],[Employment_Status]]="Exited",Table1[[#This Row],[Exit_Date]],TODAY()))</f>
        <v>3.6805555555555554</v>
      </c>
      <c r="S460" t="str" cm="1">
        <f t="array" aca="1" ref="S460" ca="1">_xlfn.IFS(AND(Table1[[#This Row],[Tenure]]&gt;=0,Table1[[#This Row],[Tenure]]&lt;=1),"0-1",AND(Table1[[#This Row],[Tenure]]&gt;1,Table1[[#This Row],[Tenure]]&lt;=3),"1-3",AND(Table1[[#This Row],[Tenure]]&gt;3,Table1[[#This Row],[Tenure]]&lt;=5),"3-5",AND(Table1[[#This Row],[Tenure]]&gt;5,Table1[[#This Row],[Tenure]]&lt;=8),"5-8")</f>
        <v>3-5</v>
      </c>
      <c r="T460" t="str" cm="1">
        <f t="array" ref="T460">_xlfn.IFS(AND(Table1[[#This Row],[Salary]]&gt;=180000, Table1[[#This Row],[Salary]] &lt;=500000),"Low (180k-500k)", AND(Table1[[#This Row],[Salary]]&gt;500000, Table1[[#This Row],[Salary]]&lt;=800000), "Medium (501k-800k)", AND(Table1[[#This Row],[Salary]]&gt;800000, Table1[[#This Row],[Salary]]&lt;1200000), "High (801k - 1.2m)")</f>
        <v>Low (180k-500k)</v>
      </c>
    </row>
    <row r="461" spans="1:20" x14ac:dyDescent="0.2">
      <c r="A461">
        <v>460</v>
      </c>
      <c r="B461" t="s">
        <v>31</v>
      </c>
      <c r="C461" t="s">
        <v>14</v>
      </c>
      <c r="D461">
        <v>26</v>
      </c>
      <c r="E461" t="s">
        <v>21</v>
      </c>
      <c r="F461" t="s">
        <v>27</v>
      </c>
      <c r="G461">
        <v>371570</v>
      </c>
      <c r="H461" t="s">
        <v>347</v>
      </c>
      <c r="J461" t="s">
        <v>18</v>
      </c>
      <c r="K461">
        <v>3</v>
      </c>
      <c r="L461">
        <v>50</v>
      </c>
      <c r="M461">
        <v>77</v>
      </c>
      <c r="N461">
        <f>IF(Table1[[#This Row],[Employment_Status]]="Exited",1,0)</f>
        <v>0</v>
      </c>
      <c r="O461" t="str" cm="1">
        <f t="array" ref="O461">_xlfn.IFS(AND(Table1[[#This Row],[Age]]&gt;=22,Table1[[#This Row],[Age]]&lt;=35),"22-35",AND(Table1[[#This Row],[Age]]&gt;=36,Table1[[#This Row],[Age]]&lt;=45),"36-45",AND(Table1[[#This Row],[Age]]&gt;=46,Table1[[#This Row],[Age]]&lt;=55),"46-55")</f>
        <v>22-35</v>
      </c>
      <c r="P461">
        <f>IF(Table1[[#This Row],[Employment_Status]]="active",1,0)</f>
        <v>1</v>
      </c>
      <c r="Q461">
        <v>1</v>
      </c>
      <c r="R461" s="6">
        <f ca="1">YEARFRAC(Table1[[#This Row],[Hire_Date]],IF(Table1[[#This Row],[Employment_Status]]="Exited",Table1[[#This Row],[Exit_Date]],TODAY()))</f>
        <v>7.25</v>
      </c>
      <c r="S461" t="str" cm="1">
        <f t="array" aca="1" ref="S461" ca="1">_xlfn.IFS(AND(Table1[[#This Row],[Tenure]]&gt;=0,Table1[[#This Row],[Tenure]]&lt;=1),"0-1",AND(Table1[[#This Row],[Tenure]]&gt;1,Table1[[#This Row],[Tenure]]&lt;=3),"1-3",AND(Table1[[#This Row],[Tenure]]&gt;3,Table1[[#This Row],[Tenure]]&lt;=5),"3-5",AND(Table1[[#This Row],[Tenure]]&gt;5,Table1[[#This Row],[Tenure]]&lt;=8),"5-8")</f>
        <v>5-8</v>
      </c>
      <c r="T461" t="str" cm="1">
        <f t="array" ref="T461">_xlfn.IFS(AND(Table1[[#This Row],[Salary]]&gt;=180000, Table1[[#This Row],[Salary]] &lt;=500000),"Low (180k-500k)", AND(Table1[[#This Row],[Salary]]&gt;500000, Table1[[#This Row],[Salary]]&lt;=800000), "Medium (501k-800k)", AND(Table1[[#This Row],[Salary]]&gt;800000, Table1[[#This Row],[Salary]]&lt;1200000), "High (801k - 1.2m)")</f>
        <v>Low (180k-500k)</v>
      </c>
    </row>
    <row r="462" spans="1:20" x14ac:dyDescent="0.2">
      <c r="A462">
        <v>461</v>
      </c>
      <c r="B462" t="s">
        <v>26</v>
      </c>
      <c r="C462" t="s">
        <v>20</v>
      </c>
      <c r="D462">
        <v>29</v>
      </c>
      <c r="E462" t="s">
        <v>21</v>
      </c>
      <c r="F462" t="s">
        <v>16</v>
      </c>
      <c r="G462">
        <v>333838</v>
      </c>
      <c r="H462" t="s">
        <v>508</v>
      </c>
      <c r="J462" t="s">
        <v>18</v>
      </c>
      <c r="K462">
        <v>3</v>
      </c>
      <c r="L462">
        <v>50</v>
      </c>
      <c r="M462">
        <v>79</v>
      </c>
      <c r="N462">
        <f>IF(Table1[[#This Row],[Employment_Status]]="Exited",1,0)</f>
        <v>0</v>
      </c>
      <c r="O462" t="str" cm="1">
        <f t="array" ref="O462">_xlfn.IFS(AND(Table1[[#This Row],[Age]]&gt;=22,Table1[[#This Row],[Age]]&lt;=35),"22-35",AND(Table1[[#This Row],[Age]]&gt;=36,Table1[[#This Row],[Age]]&lt;=45),"36-45",AND(Table1[[#This Row],[Age]]&gt;=46,Table1[[#This Row],[Age]]&lt;=55),"46-55")</f>
        <v>22-35</v>
      </c>
      <c r="P462">
        <f>IF(Table1[[#This Row],[Employment_Status]]="active",1,0)</f>
        <v>1</v>
      </c>
      <c r="Q462">
        <v>1</v>
      </c>
      <c r="R462" s="6">
        <f ca="1">YEARFRAC(Table1[[#This Row],[Hire_Date]],IF(Table1[[#This Row],[Employment_Status]]="Exited",Table1[[#This Row],[Exit_Date]],TODAY()))</f>
        <v>6.6805555555555554</v>
      </c>
      <c r="S462" t="str" cm="1">
        <f t="array" aca="1" ref="S462" ca="1">_xlfn.IFS(AND(Table1[[#This Row],[Tenure]]&gt;=0,Table1[[#This Row],[Tenure]]&lt;=1),"0-1",AND(Table1[[#This Row],[Tenure]]&gt;1,Table1[[#This Row],[Tenure]]&lt;=3),"1-3",AND(Table1[[#This Row],[Tenure]]&gt;3,Table1[[#This Row],[Tenure]]&lt;=5),"3-5",AND(Table1[[#This Row],[Tenure]]&gt;5,Table1[[#This Row],[Tenure]]&lt;=8),"5-8")</f>
        <v>5-8</v>
      </c>
      <c r="T462" t="str" cm="1">
        <f t="array" ref="T462">_xlfn.IFS(AND(Table1[[#This Row],[Salary]]&gt;=180000, Table1[[#This Row],[Salary]] &lt;=500000),"Low (180k-500k)", AND(Table1[[#This Row],[Salary]]&gt;500000, Table1[[#This Row],[Salary]]&lt;=800000), "Medium (501k-800k)", AND(Table1[[#This Row],[Salary]]&gt;800000, Table1[[#This Row],[Salary]]&lt;1200000), "High (801k - 1.2m)")</f>
        <v>Low (180k-500k)</v>
      </c>
    </row>
    <row r="463" spans="1:20" x14ac:dyDescent="0.2">
      <c r="A463">
        <v>462</v>
      </c>
      <c r="B463" t="s">
        <v>33</v>
      </c>
      <c r="C463" t="s">
        <v>20</v>
      </c>
      <c r="D463">
        <v>27</v>
      </c>
      <c r="E463" t="s">
        <v>15</v>
      </c>
      <c r="F463" t="s">
        <v>34</v>
      </c>
      <c r="G463">
        <v>484146</v>
      </c>
      <c r="H463" t="s">
        <v>509</v>
      </c>
      <c r="I463" t="s">
        <v>510</v>
      </c>
      <c r="J463" t="s">
        <v>55</v>
      </c>
      <c r="K463">
        <v>1</v>
      </c>
      <c r="L463">
        <v>25</v>
      </c>
      <c r="M463">
        <v>99</v>
      </c>
      <c r="N463">
        <f>IF(Table1[[#This Row],[Employment_Status]]="Exited",1,0)</f>
        <v>1</v>
      </c>
      <c r="O463" t="str" cm="1">
        <f t="array" ref="O463">_xlfn.IFS(AND(Table1[[#This Row],[Age]]&gt;=22,Table1[[#This Row],[Age]]&lt;=35),"22-35",AND(Table1[[#This Row],[Age]]&gt;=36,Table1[[#This Row],[Age]]&lt;=45),"36-45",AND(Table1[[#This Row],[Age]]&gt;=46,Table1[[#This Row],[Age]]&lt;=55),"46-55")</f>
        <v>22-35</v>
      </c>
      <c r="P463">
        <f>IF(Table1[[#This Row],[Employment_Status]]="active",1,0)</f>
        <v>0</v>
      </c>
      <c r="Q463">
        <v>1</v>
      </c>
      <c r="R463" s="6">
        <f ca="1">YEARFRAC(Table1[[#This Row],[Hire_Date]],IF(Table1[[#This Row],[Employment_Status]]="Exited",Table1[[#This Row],[Exit_Date]],TODAY()))</f>
        <v>3.0861111111111112</v>
      </c>
      <c r="S463" t="str" cm="1">
        <f t="array" aca="1" ref="S463" ca="1">_xlfn.IFS(AND(Table1[[#This Row],[Tenure]]&gt;=0,Table1[[#This Row],[Tenure]]&lt;=1),"0-1",AND(Table1[[#This Row],[Tenure]]&gt;1,Table1[[#This Row],[Tenure]]&lt;=3),"1-3",AND(Table1[[#This Row],[Tenure]]&gt;3,Table1[[#This Row],[Tenure]]&lt;=5),"3-5",AND(Table1[[#This Row],[Tenure]]&gt;5,Table1[[#This Row],[Tenure]]&lt;=8),"5-8")</f>
        <v>3-5</v>
      </c>
      <c r="T463" t="str" cm="1">
        <f t="array" ref="T463">_xlfn.IFS(AND(Table1[[#This Row],[Salary]]&gt;=180000, Table1[[#This Row],[Salary]] &lt;=500000),"Low (180k-500k)", AND(Table1[[#This Row],[Salary]]&gt;500000, Table1[[#This Row],[Salary]]&lt;=800000), "Medium (501k-800k)", AND(Table1[[#This Row],[Salary]]&gt;800000, Table1[[#This Row],[Salary]]&lt;1200000), "High (801k - 1.2m)")</f>
        <v>Low (180k-500k)</v>
      </c>
    </row>
    <row r="464" spans="1:20" x14ac:dyDescent="0.2">
      <c r="A464">
        <v>463</v>
      </c>
      <c r="B464" t="s">
        <v>24</v>
      </c>
      <c r="C464" t="s">
        <v>14</v>
      </c>
      <c r="D464">
        <v>51</v>
      </c>
      <c r="E464" t="s">
        <v>15</v>
      </c>
      <c r="F464" t="s">
        <v>34</v>
      </c>
      <c r="G464">
        <v>897685</v>
      </c>
      <c r="H464" t="s">
        <v>511</v>
      </c>
      <c r="J464" t="s">
        <v>18</v>
      </c>
      <c r="K464">
        <v>4</v>
      </c>
      <c r="L464">
        <v>27</v>
      </c>
      <c r="M464">
        <v>77</v>
      </c>
      <c r="N464">
        <f>IF(Table1[[#This Row],[Employment_Status]]="Exited",1,0)</f>
        <v>0</v>
      </c>
      <c r="O464" t="str" cm="1">
        <f t="array" ref="O464">_xlfn.IFS(AND(Table1[[#This Row],[Age]]&gt;=22,Table1[[#This Row],[Age]]&lt;=35),"22-35",AND(Table1[[#This Row],[Age]]&gt;=36,Table1[[#This Row],[Age]]&lt;=45),"36-45",AND(Table1[[#This Row],[Age]]&gt;=46,Table1[[#This Row],[Age]]&lt;=55),"46-55")</f>
        <v>46-55</v>
      </c>
      <c r="P464">
        <f>IF(Table1[[#This Row],[Employment_Status]]="active",1,0)</f>
        <v>1</v>
      </c>
      <c r="Q464">
        <v>1</v>
      </c>
      <c r="R464" s="6">
        <f ca="1">YEARFRAC(Table1[[#This Row],[Hire_Date]],IF(Table1[[#This Row],[Employment_Status]]="Exited",Table1[[#This Row],[Exit_Date]],TODAY()))</f>
        <v>5.8916666666666666</v>
      </c>
      <c r="S464" t="str" cm="1">
        <f t="array" aca="1" ref="S464" ca="1">_xlfn.IFS(AND(Table1[[#This Row],[Tenure]]&gt;=0,Table1[[#This Row],[Tenure]]&lt;=1),"0-1",AND(Table1[[#This Row],[Tenure]]&gt;1,Table1[[#This Row],[Tenure]]&lt;=3),"1-3",AND(Table1[[#This Row],[Tenure]]&gt;3,Table1[[#This Row],[Tenure]]&lt;=5),"3-5",AND(Table1[[#This Row],[Tenure]]&gt;5,Table1[[#This Row],[Tenure]]&lt;=8),"5-8")</f>
        <v>5-8</v>
      </c>
      <c r="T464" t="str" cm="1">
        <f t="array" ref="T464">_xlfn.IFS(AND(Table1[[#This Row],[Salary]]&gt;=180000, Table1[[#This Row],[Salary]] &lt;=500000),"Low (180k-500k)", AND(Table1[[#This Row],[Salary]]&gt;500000, Table1[[#This Row],[Salary]]&lt;=800000), "Medium (501k-800k)", AND(Table1[[#This Row],[Salary]]&gt;800000, Table1[[#This Row],[Salary]]&lt;1200000), "High (801k - 1.2m)")</f>
        <v>High (801k - 1.2m)</v>
      </c>
    </row>
    <row r="465" spans="1:20" x14ac:dyDescent="0.2">
      <c r="A465">
        <v>464</v>
      </c>
      <c r="B465" t="s">
        <v>58</v>
      </c>
      <c r="C465" t="s">
        <v>20</v>
      </c>
      <c r="D465">
        <v>40</v>
      </c>
      <c r="E465" t="s">
        <v>21</v>
      </c>
      <c r="F465" t="s">
        <v>16</v>
      </c>
      <c r="G465">
        <v>310820</v>
      </c>
      <c r="H465" t="s">
        <v>512</v>
      </c>
      <c r="I465" t="s">
        <v>513</v>
      </c>
      <c r="J465" t="s">
        <v>55</v>
      </c>
      <c r="K465">
        <v>4</v>
      </c>
      <c r="L465">
        <v>34</v>
      </c>
      <c r="M465">
        <v>91</v>
      </c>
      <c r="N465">
        <f>IF(Table1[[#This Row],[Employment_Status]]="Exited",1,0)</f>
        <v>1</v>
      </c>
      <c r="O465" t="str" cm="1">
        <f t="array" ref="O465">_xlfn.IFS(AND(Table1[[#This Row],[Age]]&gt;=22,Table1[[#This Row],[Age]]&lt;=35),"22-35",AND(Table1[[#This Row],[Age]]&gt;=36,Table1[[#This Row],[Age]]&lt;=45),"36-45",AND(Table1[[#This Row],[Age]]&gt;=46,Table1[[#This Row],[Age]]&lt;=55),"46-55")</f>
        <v>36-45</v>
      </c>
      <c r="P465">
        <f>IF(Table1[[#This Row],[Employment_Status]]="active",1,0)</f>
        <v>0</v>
      </c>
      <c r="Q465">
        <v>1</v>
      </c>
      <c r="R465" s="6">
        <f ca="1">YEARFRAC(Table1[[#This Row],[Hire_Date]],IF(Table1[[#This Row],[Employment_Status]]="Exited",Table1[[#This Row],[Exit_Date]],TODAY()))</f>
        <v>2.1083333333333334</v>
      </c>
      <c r="S465" t="str" cm="1">
        <f t="array" aca="1" ref="S465" ca="1">_xlfn.IFS(AND(Table1[[#This Row],[Tenure]]&gt;=0,Table1[[#This Row],[Tenure]]&lt;=1),"0-1",AND(Table1[[#This Row],[Tenure]]&gt;1,Table1[[#This Row],[Tenure]]&lt;=3),"1-3",AND(Table1[[#This Row],[Tenure]]&gt;3,Table1[[#This Row],[Tenure]]&lt;=5),"3-5",AND(Table1[[#This Row],[Tenure]]&gt;5,Table1[[#This Row],[Tenure]]&lt;=8),"5-8")</f>
        <v>1-3</v>
      </c>
      <c r="T465" t="str" cm="1">
        <f t="array" ref="T465">_xlfn.IFS(AND(Table1[[#This Row],[Salary]]&gt;=180000, Table1[[#This Row],[Salary]] &lt;=500000),"Low (180k-500k)", AND(Table1[[#This Row],[Salary]]&gt;500000, Table1[[#This Row],[Salary]]&lt;=800000), "Medium (501k-800k)", AND(Table1[[#This Row],[Salary]]&gt;800000, Table1[[#This Row],[Salary]]&lt;1200000), "High (801k - 1.2m)")</f>
        <v>Low (180k-500k)</v>
      </c>
    </row>
    <row r="466" spans="1:20" x14ac:dyDescent="0.2">
      <c r="A466">
        <v>465</v>
      </c>
      <c r="B466" t="s">
        <v>75</v>
      </c>
      <c r="C466" t="s">
        <v>14</v>
      </c>
      <c r="D466">
        <v>39</v>
      </c>
      <c r="E466" t="s">
        <v>21</v>
      </c>
      <c r="F466" t="s">
        <v>22</v>
      </c>
      <c r="G466">
        <v>626387</v>
      </c>
      <c r="H466" t="s">
        <v>514</v>
      </c>
      <c r="J466" t="s">
        <v>18</v>
      </c>
      <c r="K466">
        <v>4</v>
      </c>
      <c r="L466">
        <v>49</v>
      </c>
      <c r="M466">
        <v>94</v>
      </c>
      <c r="N466">
        <f>IF(Table1[[#This Row],[Employment_Status]]="Exited",1,0)</f>
        <v>0</v>
      </c>
      <c r="O466" t="str" cm="1">
        <f t="array" ref="O466">_xlfn.IFS(AND(Table1[[#This Row],[Age]]&gt;=22,Table1[[#This Row],[Age]]&lt;=35),"22-35",AND(Table1[[#This Row],[Age]]&gt;=36,Table1[[#This Row],[Age]]&lt;=45),"36-45",AND(Table1[[#This Row],[Age]]&gt;=46,Table1[[#This Row],[Age]]&lt;=55),"46-55")</f>
        <v>36-45</v>
      </c>
      <c r="P466">
        <f>IF(Table1[[#This Row],[Employment_Status]]="active",1,0)</f>
        <v>1</v>
      </c>
      <c r="Q466">
        <v>1</v>
      </c>
      <c r="R466" s="6">
        <f ca="1">YEARFRAC(Table1[[#This Row],[Hire_Date]],IF(Table1[[#This Row],[Employment_Status]]="Exited",Table1[[#This Row],[Exit_Date]],TODAY()))</f>
        <v>7.0444444444444443</v>
      </c>
      <c r="S466" t="str" cm="1">
        <f t="array" aca="1" ref="S466" ca="1">_xlfn.IFS(AND(Table1[[#This Row],[Tenure]]&gt;=0,Table1[[#This Row],[Tenure]]&lt;=1),"0-1",AND(Table1[[#This Row],[Tenure]]&gt;1,Table1[[#This Row],[Tenure]]&lt;=3),"1-3",AND(Table1[[#This Row],[Tenure]]&gt;3,Table1[[#This Row],[Tenure]]&lt;=5),"3-5",AND(Table1[[#This Row],[Tenure]]&gt;5,Table1[[#This Row],[Tenure]]&lt;=8),"5-8")</f>
        <v>5-8</v>
      </c>
      <c r="T466" t="str" cm="1">
        <f t="array" ref="T466">_xlfn.IFS(AND(Table1[[#This Row],[Salary]]&gt;=180000, Table1[[#This Row],[Salary]] &lt;=500000),"Low (180k-500k)", AND(Table1[[#This Row],[Salary]]&gt;500000, Table1[[#This Row],[Salary]]&lt;=800000), "Medium (501k-800k)", AND(Table1[[#This Row],[Salary]]&gt;800000, Table1[[#This Row],[Salary]]&lt;1200000), "High (801k - 1.2m)")</f>
        <v>Medium (501k-800k)</v>
      </c>
    </row>
    <row r="467" spans="1:20" x14ac:dyDescent="0.2">
      <c r="A467">
        <v>466</v>
      </c>
      <c r="B467" t="s">
        <v>29</v>
      </c>
      <c r="C467" t="s">
        <v>14</v>
      </c>
      <c r="D467">
        <v>42</v>
      </c>
      <c r="E467" t="s">
        <v>15</v>
      </c>
      <c r="F467" t="s">
        <v>22</v>
      </c>
      <c r="G467">
        <v>509682</v>
      </c>
      <c r="H467" t="s">
        <v>515</v>
      </c>
      <c r="J467" t="s">
        <v>18</v>
      </c>
      <c r="K467">
        <v>3</v>
      </c>
      <c r="L467">
        <v>1</v>
      </c>
      <c r="M467">
        <v>88</v>
      </c>
      <c r="N467">
        <f>IF(Table1[[#This Row],[Employment_Status]]="Exited",1,0)</f>
        <v>0</v>
      </c>
      <c r="O467" t="str" cm="1">
        <f t="array" ref="O467">_xlfn.IFS(AND(Table1[[#This Row],[Age]]&gt;=22,Table1[[#This Row],[Age]]&lt;=35),"22-35",AND(Table1[[#This Row],[Age]]&gt;=36,Table1[[#This Row],[Age]]&lt;=45),"36-45",AND(Table1[[#This Row],[Age]]&gt;=46,Table1[[#This Row],[Age]]&lt;=55),"46-55")</f>
        <v>36-45</v>
      </c>
      <c r="P467">
        <f>IF(Table1[[#This Row],[Employment_Status]]="active",1,0)</f>
        <v>1</v>
      </c>
      <c r="Q467">
        <v>1</v>
      </c>
      <c r="R467" s="6">
        <f ca="1">YEARFRAC(Table1[[#This Row],[Hire_Date]],IF(Table1[[#This Row],[Employment_Status]]="Exited",Table1[[#This Row],[Exit_Date]],TODAY()))</f>
        <v>4.1194444444444445</v>
      </c>
      <c r="S467" t="str" cm="1">
        <f t="array" aca="1" ref="S467" ca="1">_xlfn.IFS(AND(Table1[[#This Row],[Tenure]]&gt;=0,Table1[[#This Row],[Tenure]]&lt;=1),"0-1",AND(Table1[[#This Row],[Tenure]]&gt;1,Table1[[#This Row],[Tenure]]&lt;=3),"1-3",AND(Table1[[#This Row],[Tenure]]&gt;3,Table1[[#This Row],[Tenure]]&lt;=5),"3-5",AND(Table1[[#This Row],[Tenure]]&gt;5,Table1[[#This Row],[Tenure]]&lt;=8),"5-8")</f>
        <v>3-5</v>
      </c>
      <c r="T467" t="str" cm="1">
        <f t="array" ref="T467">_xlfn.IFS(AND(Table1[[#This Row],[Salary]]&gt;=180000, Table1[[#This Row],[Salary]] &lt;=500000),"Low (180k-500k)", AND(Table1[[#This Row],[Salary]]&gt;500000, Table1[[#This Row],[Salary]]&lt;=800000), "Medium (501k-800k)", AND(Table1[[#This Row],[Salary]]&gt;800000, Table1[[#This Row],[Salary]]&lt;1200000), "High (801k - 1.2m)")</f>
        <v>Medium (501k-800k)</v>
      </c>
    </row>
    <row r="468" spans="1:20" x14ac:dyDescent="0.2">
      <c r="A468">
        <v>467</v>
      </c>
      <c r="B468" t="s">
        <v>24</v>
      </c>
      <c r="C468" t="s">
        <v>14</v>
      </c>
      <c r="D468">
        <v>32</v>
      </c>
      <c r="E468" t="s">
        <v>15</v>
      </c>
      <c r="F468" t="s">
        <v>22</v>
      </c>
      <c r="G468">
        <v>707273</v>
      </c>
      <c r="H468" t="s">
        <v>516</v>
      </c>
      <c r="J468" t="s">
        <v>18</v>
      </c>
      <c r="K468">
        <v>3</v>
      </c>
      <c r="L468">
        <v>29</v>
      </c>
      <c r="M468">
        <v>66</v>
      </c>
      <c r="N468">
        <f>IF(Table1[[#This Row],[Employment_Status]]="Exited",1,0)</f>
        <v>0</v>
      </c>
      <c r="O468" t="str" cm="1">
        <f t="array" ref="O468">_xlfn.IFS(AND(Table1[[#This Row],[Age]]&gt;=22,Table1[[#This Row],[Age]]&lt;=35),"22-35",AND(Table1[[#This Row],[Age]]&gt;=36,Table1[[#This Row],[Age]]&lt;=45),"36-45",AND(Table1[[#This Row],[Age]]&gt;=46,Table1[[#This Row],[Age]]&lt;=55),"46-55")</f>
        <v>22-35</v>
      </c>
      <c r="P468">
        <f>IF(Table1[[#This Row],[Employment_Status]]="active",1,0)</f>
        <v>1</v>
      </c>
      <c r="Q468">
        <v>1</v>
      </c>
      <c r="R468" s="6">
        <f ca="1">YEARFRAC(Table1[[#This Row],[Hire_Date]],IF(Table1[[#This Row],[Employment_Status]]="Exited",Table1[[#This Row],[Exit_Date]],TODAY()))</f>
        <v>1.9777777777777779</v>
      </c>
      <c r="S468" t="str" cm="1">
        <f t="array" aca="1" ref="S468" ca="1">_xlfn.IFS(AND(Table1[[#This Row],[Tenure]]&gt;=0,Table1[[#This Row],[Tenure]]&lt;=1),"0-1",AND(Table1[[#This Row],[Tenure]]&gt;1,Table1[[#This Row],[Tenure]]&lt;=3),"1-3",AND(Table1[[#This Row],[Tenure]]&gt;3,Table1[[#This Row],[Tenure]]&lt;=5),"3-5",AND(Table1[[#This Row],[Tenure]]&gt;5,Table1[[#This Row],[Tenure]]&lt;=8),"5-8")</f>
        <v>1-3</v>
      </c>
      <c r="T468" t="str" cm="1">
        <f t="array" ref="T468">_xlfn.IFS(AND(Table1[[#This Row],[Salary]]&gt;=180000, Table1[[#This Row],[Salary]] &lt;=500000),"Low (180k-500k)", AND(Table1[[#This Row],[Salary]]&gt;500000, Table1[[#This Row],[Salary]]&lt;=800000), "Medium (501k-800k)", AND(Table1[[#This Row],[Salary]]&gt;800000, Table1[[#This Row],[Salary]]&lt;1200000), "High (801k - 1.2m)")</f>
        <v>Medium (501k-800k)</v>
      </c>
    </row>
    <row r="469" spans="1:20" x14ac:dyDescent="0.2">
      <c r="A469">
        <v>468</v>
      </c>
      <c r="B469" t="s">
        <v>31</v>
      </c>
      <c r="C469" t="s">
        <v>20</v>
      </c>
      <c r="D469">
        <v>38</v>
      </c>
      <c r="E469" t="s">
        <v>45</v>
      </c>
      <c r="F469" t="s">
        <v>34</v>
      </c>
      <c r="G469">
        <v>351712</v>
      </c>
      <c r="H469" t="s">
        <v>517</v>
      </c>
      <c r="J469" t="s">
        <v>18</v>
      </c>
      <c r="K469">
        <v>1</v>
      </c>
      <c r="L469">
        <v>4</v>
      </c>
      <c r="M469">
        <v>80</v>
      </c>
      <c r="N469">
        <f>IF(Table1[[#This Row],[Employment_Status]]="Exited",1,0)</f>
        <v>0</v>
      </c>
      <c r="O469" t="str" cm="1">
        <f t="array" ref="O469">_xlfn.IFS(AND(Table1[[#This Row],[Age]]&gt;=22,Table1[[#This Row],[Age]]&lt;=35),"22-35",AND(Table1[[#This Row],[Age]]&gt;=36,Table1[[#This Row],[Age]]&lt;=45),"36-45",AND(Table1[[#This Row],[Age]]&gt;=46,Table1[[#This Row],[Age]]&lt;=55),"46-55")</f>
        <v>36-45</v>
      </c>
      <c r="P469">
        <f>IF(Table1[[#This Row],[Employment_Status]]="active",1,0)</f>
        <v>1</v>
      </c>
      <c r="Q469">
        <v>1</v>
      </c>
      <c r="R469" s="6">
        <f ca="1">YEARFRAC(Table1[[#This Row],[Hire_Date]],IF(Table1[[#This Row],[Employment_Status]]="Exited",Table1[[#This Row],[Exit_Date]],TODAY()))</f>
        <v>7.4305555555555554</v>
      </c>
      <c r="S469" t="str" cm="1">
        <f t="array" aca="1" ref="S469" ca="1">_xlfn.IFS(AND(Table1[[#This Row],[Tenure]]&gt;=0,Table1[[#This Row],[Tenure]]&lt;=1),"0-1",AND(Table1[[#This Row],[Tenure]]&gt;1,Table1[[#This Row],[Tenure]]&lt;=3),"1-3",AND(Table1[[#This Row],[Tenure]]&gt;3,Table1[[#This Row],[Tenure]]&lt;=5),"3-5",AND(Table1[[#This Row],[Tenure]]&gt;5,Table1[[#This Row],[Tenure]]&lt;=8),"5-8")</f>
        <v>5-8</v>
      </c>
      <c r="T469" t="str" cm="1">
        <f t="array" ref="T469">_xlfn.IFS(AND(Table1[[#This Row],[Salary]]&gt;=180000, Table1[[#This Row],[Salary]] &lt;=500000),"Low (180k-500k)", AND(Table1[[#This Row],[Salary]]&gt;500000, Table1[[#This Row],[Salary]]&lt;=800000), "Medium (501k-800k)", AND(Table1[[#This Row],[Salary]]&gt;800000, Table1[[#This Row],[Salary]]&lt;1200000), "High (801k - 1.2m)")</f>
        <v>Low (180k-500k)</v>
      </c>
    </row>
    <row r="470" spans="1:20" x14ac:dyDescent="0.2">
      <c r="A470">
        <v>469</v>
      </c>
      <c r="B470" t="s">
        <v>47</v>
      </c>
      <c r="C470" t="s">
        <v>14</v>
      </c>
      <c r="D470">
        <v>38</v>
      </c>
      <c r="E470" t="s">
        <v>15</v>
      </c>
      <c r="F470" t="s">
        <v>16</v>
      </c>
      <c r="G470">
        <v>1076782</v>
      </c>
      <c r="H470" t="s">
        <v>518</v>
      </c>
      <c r="J470" t="s">
        <v>18</v>
      </c>
      <c r="K470">
        <v>5</v>
      </c>
      <c r="L470">
        <v>48</v>
      </c>
      <c r="M470">
        <v>75</v>
      </c>
      <c r="N470">
        <f>IF(Table1[[#This Row],[Employment_Status]]="Exited",1,0)</f>
        <v>0</v>
      </c>
      <c r="O470" t="str" cm="1">
        <f t="array" ref="O470">_xlfn.IFS(AND(Table1[[#This Row],[Age]]&gt;=22,Table1[[#This Row],[Age]]&lt;=35),"22-35",AND(Table1[[#This Row],[Age]]&gt;=36,Table1[[#This Row],[Age]]&lt;=45),"36-45",AND(Table1[[#This Row],[Age]]&gt;=46,Table1[[#This Row],[Age]]&lt;=55),"46-55")</f>
        <v>36-45</v>
      </c>
      <c r="P470">
        <f>IF(Table1[[#This Row],[Employment_Status]]="active",1,0)</f>
        <v>1</v>
      </c>
      <c r="Q470">
        <v>1</v>
      </c>
      <c r="R470" s="6">
        <f ca="1">YEARFRAC(Table1[[#This Row],[Hire_Date]],IF(Table1[[#This Row],[Employment_Status]]="Exited",Table1[[#This Row],[Exit_Date]],TODAY()))</f>
        <v>5.2249999999999996</v>
      </c>
      <c r="S470" t="str" cm="1">
        <f t="array" aca="1" ref="S470" ca="1">_xlfn.IFS(AND(Table1[[#This Row],[Tenure]]&gt;=0,Table1[[#This Row],[Tenure]]&lt;=1),"0-1",AND(Table1[[#This Row],[Tenure]]&gt;1,Table1[[#This Row],[Tenure]]&lt;=3),"1-3",AND(Table1[[#This Row],[Tenure]]&gt;3,Table1[[#This Row],[Tenure]]&lt;=5),"3-5",AND(Table1[[#This Row],[Tenure]]&gt;5,Table1[[#This Row],[Tenure]]&lt;=8),"5-8")</f>
        <v>5-8</v>
      </c>
      <c r="T470" t="str" cm="1">
        <f t="array" ref="T470">_xlfn.IFS(AND(Table1[[#This Row],[Salary]]&gt;=180000, Table1[[#This Row],[Salary]] &lt;=500000),"Low (180k-500k)", AND(Table1[[#This Row],[Salary]]&gt;500000, Table1[[#This Row],[Salary]]&lt;=800000), "Medium (501k-800k)", AND(Table1[[#This Row],[Salary]]&gt;800000, Table1[[#This Row],[Salary]]&lt;1200000), "High (801k - 1.2m)")</f>
        <v>High (801k - 1.2m)</v>
      </c>
    </row>
    <row r="471" spans="1:20" x14ac:dyDescent="0.2">
      <c r="A471">
        <v>470</v>
      </c>
      <c r="B471" t="s">
        <v>29</v>
      </c>
      <c r="C471" t="s">
        <v>14</v>
      </c>
      <c r="D471">
        <v>31</v>
      </c>
      <c r="E471" t="s">
        <v>45</v>
      </c>
      <c r="F471" t="s">
        <v>22</v>
      </c>
      <c r="G471">
        <v>583368</v>
      </c>
      <c r="H471" t="s">
        <v>378</v>
      </c>
      <c r="J471" t="s">
        <v>18</v>
      </c>
      <c r="K471">
        <v>4</v>
      </c>
      <c r="L471">
        <v>47</v>
      </c>
      <c r="M471">
        <v>99</v>
      </c>
      <c r="N471">
        <f>IF(Table1[[#This Row],[Employment_Status]]="Exited",1,0)</f>
        <v>0</v>
      </c>
      <c r="O471" t="str" cm="1">
        <f t="array" ref="O471">_xlfn.IFS(AND(Table1[[#This Row],[Age]]&gt;=22,Table1[[#This Row],[Age]]&lt;=35),"22-35",AND(Table1[[#This Row],[Age]]&gt;=36,Table1[[#This Row],[Age]]&lt;=45),"36-45",AND(Table1[[#This Row],[Age]]&gt;=46,Table1[[#This Row],[Age]]&lt;=55),"46-55")</f>
        <v>22-35</v>
      </c>
      <c r="P471">
        <f>IF(Table1[[#This Row],[Employment_Status]]="active",1,0)</f>
        <v>1</v>
      </c>
      <c r="Q471">
        <v>1</v>
      </c>
      <c r="R471" s="6">
        <f ca="1">YEARFRAC(Table1[[#This Row],[Hire_Date]],IF(Table1[[#This Row],[Employment_Status]]="Exited",Table1[[#This Row],[Exit_Date]],TODAY()))</f>
        <v>2.875</v>
      </c>
      <c r="S471" t="str" cm="1">
        <f t="array" aca="1" ref="S471" ca="1">_xlfn.IFS(AND(Table1[[#This Row],[Tenure]]&gt;=0,Table1[[#This Row],[Tenure]]&lt;=1),"0-1",AND(Table1[[#This Row],[Tenure]]&gt;1,Table1[[#This Row],[Tenure]]&lt;=3),"1-3",AND(Table1[[#This Row],[Tenure]]&gt;3,Table1[[#This Row],[Tenure]]&lt;=5),"3-5",AND(Table1[[#This Row],[Tenure]]&gt;5,Table1[[#This Row],[Tenure]]&lt;=8),"5-8")</f>
        <v>1-3</v>
      </c>
      <c r="T471" t="str" cm="1">
        <f t="array" ref="T471">_xlfn.IFS(AND(Table1[[#This Row],[Salary]]&gt;=180000, Table1[[#This Row],[Salary]] &lt;=500000),"Low (180k-500k)", AND(Table1[[#This Row],[Salary]]&gt;500000, Table1[[#This Row],[Salary]]&lt;=800000), "Medium (501k-800k)", AND(Table1[[#This Row],[Salary]]&gt;800000, Table1[[#This Row],[Salary]]&lt;1200000), "High (801k - 1.2m)")</f>
        <v>Medium (501k-800k)</v>
      </c>
    </row>
    <row r="472" spans="1:20" x14ac:dyDescent="0.2">
      <c r="A472">
        <v>471</v>
      </c>
      <c r="B472" t="s">
        <v>75</v>
      </c>
      <c r="C472" t="s">
        <v>14</v>
      </c>
      <c r="D472">
        <v>32</v>
      </c>
      <c r="E472" t="s">
        <v>15</v>
      </c>
      <c r="F472" t="s">
        <v>34</v>
      </c>
      <c r="G472">
        <v>1119873</v>
      </c>
      <c r="H472" t="s">
        <v>519</v>
      </c>
      <c r="J472" t="s">
        <v>18</v>
      </c>
      <c r="K472">
        <v>4</v>
      </c>
      <c r="L472">
        <v>44</v>
      </c>
      <c r="M472">
        <v>76</v>
      </c>
      <c r="N472">
        <f>IF(Table1[[#This Row],[Employment_Status]]="Exited",1,0)</f>
        <v>0</v>
      </c>
      <c r="O472" t="str" cm="1">
        <f t="array" ref="O472">_xlfn.IFS(AND(Table1[[#This Row],[Age]]&gt;=22,Table1[[#This Row],[Age]]&lt;=35),"22-35",AND(Table1[[#This Row],[Age]]&gt;=36,Table1[[#This Row],[Age]]&lt;=45),"36-45",AND(Table1[[#This Row],[Age]]&gt;=46,Table1[[#This Row],[Age]]&lt;=55),"46-55")</f>
        <v>22-35</v>
      </c>
      <c r="P472">
        <f>IF(Table1[[#This Row],[Employment_Status]]="active",1,0)</f>
        <v>1</v>
      </c>
      <c r="Q472">
        <v>1</v>
      </c>
      <c r="R472" s="6">
        <f ca="1">YEARFRAC(Table1[[#This Row],[Hire_Date]],IF(Table1[[#This Row],[Employment_Status]]="Exited",Table1[[#This Row],[Exit_Date]],TODAY()))</f>
        <v>5.3388888888888886</v>
      </c>
      <c r="S472" t="str" cm="1">
        <f t="array" aca="1" ref="S472" ca="1">_xlfn.IFS(AND(Table1[[#This Row],[Tenure]]&gt;=0,Table1[[#This Row],[Tenure]]&lt;=1),"0-1",AND(Table1[[#This Row],[Tenure]]&gt;1,Table1[[#This Row],[Tenure]]&lt;=3),"1-3",AND(Table1[[#This Row],[Tenure]]&gt;3,Table1[[#This Row],[Tenure]]&lt;=5),"3-5",AND(Table1[[#This Row],[Tenure]]&gt;5,Table1[[#This Row],[Tenure]]&lt;=8),"5-8")</f>
        <v>5-8</v>
      </c>
      <c r="T472" t="str" cm="1">
        <f t="array" ref="T472">_xlfn.IFS(AND(Table1[[#This Row],[Salary]]&gt;=180000, Table1[[#This Row],[Salary]] &lt;=500000),"Low (180k-500k)", AND(Table1[[#This Row],[Salary]]&gt;500000, Table1[[#This Row],[Salary]]&lt;=800000), "Medium (501k-800k)", AND(Table1[[#This Row],[Salary]]&gt;800000, Table1[[#This Row],[Salary]]&lt;1200000), "High (801k - 1.2m)")</f>
        <v>High (801k - 1.2m)</v>
      </c>
    </row>
    <row r="473" spans="1:20" x14ac:dyDescent="0.2">
      <c r="A473">
        <v>472</v>
      </c>
      <c r="B473" t="s">
        <v>13</v>
      </c>
      <c r="C473" t="s">
        <v>20</v>
      </c>
      <c r="D473">
        <v>38</v>
      </c>
      <c r="E473" t="s">
        <v>45</v>
      </c>
      <c r="F473" t="s">
        <v>27</v>
      </c>
      <c r="G473">
        <v>385560</v>
      </c>
      <c r="H473" t="s">
        <v>431</v>
      </c>
      <c r="J473" t="s">
        <v>18</v>
      </c>
      <c r="K473">
        <v>1</v>
      </c>
      <c r="L473">
        <v>3</v>
      </c>
      <c r="M473">
        <v>93</v>
      </c>
      <c r="N473">
        <f>IF(Table1[[#This Row],[Employment_Status]]="Exited",1,0)</f>
        <v>0</v>
      </c>
      <c r="O473" t="str" cm="1">
        <f t="array" ref="O473">_xlfn.IFS(AND(Table1[[#This Row],[Age]]&gt;=22,Table1[[#This Row],[Age]]&lt;=35),"22-35",AND(Table1[[#This Row],[Age]]&gt;=36,Table1[[#This Row],[Age]]&lt;=45),"36-45",AND(Table1[[#This Row],[Age]]&gt;=46,Table1[[#This Row],[Age]]&lt;=55),"46-55")</f>
        <v>36-45</v>
      </c>
      <c r="P473">
        <f>IF(Table1[[#This Row],[Employment_Status]]="active",1,0)</f>
        <v>1</v>
      </c>
      <c r="Q473">
        <v>1</v>
      </c>
      <c r="R473" s="6">
        <f ca="1">YEARFRAC(Table1[[#This Row],[Hire_Date]],IF(Table1[[#This Row],[Employment_Status]]="Exited",Table1[[#This Row],[Exit_Date]],TODAY()))</f>
        <v>5.6749999999999998</v>
      </c>
      <c r="S473" t="str" cm="1">
        <f t="array" aca="1" ref="S473" ca="1">_xlfn.IFS(AND(Table1[[#This Row],[Tenure]]&gt;=0,Table1[[#This Row],[Tenure]]&lt;=1),"0-1",AND(Table1[[#This Row],[Tenure]]&gt;1,Table1[[#This Row],[Tenure]]&lt;=3),"1-3",AND(Table1[[#This Row],[Tenure]]&gt;3,Table1[[#This Row],[Tenure]]&lt;=5),"3-5",AND(Table1[[#This Row],[Tenure]]&gt;5,Table1[[#This Row],[Tenure]]&lt;=8),"5-8")</f>
        <v>5-8</v>
      </c>
      <c r="T473" t="str" cm="1">
        <f t="array" ref="T473">_xlfn.IFS(AND(Table1[[#This Row],[Salary]]&gt;=180000, Table1[[#This Row],[Salary]] &lt;=500000),"Low (180k-500k)", AND(Table1[[#This Row],[Salary]]&gt;500000, Table1[[#This Row],[Salary]]&lt;=800000), "Medium (501k-800k)", AND(Table1[[#This Row],[Salary]]&gt;800000, Table1[[#This Row],[Salary]]&lt;1200000), "High (801k - 1.2m)")</f>
        <v>Low (180k-500k)</v>
      </c>
    </row>
    <row r="474" spans="1:20" x14ac:dyDescent="0.2">
      <c r="A474">
        <v>473</v>
      </c>
      <c r="B474" t="s">
        <v>75</v>
      </c>
      <c r="C474" t="s">
        <v>20</v>
      </c>
      <c r="D474">
        <v>54</v>
      </c>
      <c r="E474" t="s">
        <v>15</v>
      </c>
      <c r="F474" t="s">
        <v>27</v>
      </c>
      <c r="G474">
        <v>876863</v>
      </c>
      <c r="H474" t="s">
        <v>520</v>
      </c>
      <c r="J474" t="s">
        <v>18</v>
      </c>
      <c r="K474">
        <v>5</v>
      </c>
      <c r="L474">
        <v>46</v>
      </c>
      <c r="M474">
        <v>86</v>
      </c>
      <c r="N474">
        <f>IF(Table1[[#This Row],[Employment_Status]]="Exited",1,0)</f>
        <v>0</v>
      </c>
      <c r="O474" t="str" cm="1">
        <f t="array" ref="O474">_xlfn.IFS(AND(Table1[[#This Row],[Age]]&gt;=22,Table1[[#This Row],[Age]]&lt;=35),"22-35",AND(Table1[[#This Row],[Age]]&gt;=36,Table1[[#This Row],[Age]]&lt;=45),"36-45",AND(Table1[[#This Row],[Age]]&gt;=46,Table1[[#This Row],[Age]]&lt;=55),"46-55")</f>
        <v>46-55</v>
      </c>
      <c r="P474">
        <f>IF(Table1[[#This Row],[Employment_Status]]="active",1,0)</f>
        <v>1</v>
      </c>
      <c r="Q474">
        <v>1</v>
      </c>
      <c r="R474" s="6">
        <f ca="1">YEARFRAC(Table1[[#This Row],[Hire_Date]],IF(Table1[[#This Row],[Employment_Status]]="Exited",Table1[[#This Row],[Exit_Date]],TODAY()))</f>
        <v>3.9472222222222224</v>
      </c>
      <c r="S474" t="str" cm="1">
        <f t="array" aca="1" ref="S474" ca="1">_xlfn.IFS(AND(Table1[[#This Row],[Tenure]]&gt;=0,Table1[[#This Row],[Tenure]]&lt;=1),"0-1",AND(Table1[[#This Row],[Tenure]]&gt;1,Table1[[#This Row],[Tenure]]&lt;=3),"1-3",AND(Table1[[#This Row],[Tenure]]&gt;3,Table1[[#This Row],[Tenure]]&lt;=5),"3-5",AND(Table1[[#This Row],[Tenure]]&gt;5,Table1[[#This Row],[Tenure]]&lt;=8),"5-8")</f>
        <v>3-5</v>
      </c>
      <c r="T474" t="str" cm="1">
        <f t="array" ref="T474">_xlfn.IFS(AND(Table1[[#This Row],[Salary]]&gt;=180000, Table1[[#This Row],[Salary]] &lt;=500000),"Low (180k-500k)", AND(Table1[[#This Row],[Salary]]&gt;500000, Table1[[#This Row],[Salary]]&lt;=800000), "Medium (501k-800k)", AND(Table1[[#This Row],[Salary]]&gt;800000, Table1[[#This Row],[Salary]]&lt;1200000), "High (801k - 1.2m)")</f>
        <v>High (801k - 1.2m)</v>
      </c>
    </row>
    <row r="475" spans="1:20" x14ac:dyDescent="0.2">
      <c r="A475">
        <v>474</v>
      </c>
      <c r="B475" t="s">
        <v>26</v>
      </c>
      <c r="C475" t="s">
        <v>14</v>
      </c>
      <c r="D475">
        <v>31</v>
      </c>
      <c r="E475" t="s">
        <v>15</v>
      </c>
      <c r="F475" t="s">
        <v>22</v>
      </c>
      <c r="G475">
        <v>928401</v>
      </c>
      <c r="H475" t="s">
        <v>25</v>
      </c>
      <c r="J475" t="s">
        <v>18</v>
      </c>
      <c r="K475">
        <v>2</v>
      </c>
      <c r="L475">
        <v>22</v>
      </c>
      <c r="M475">
        <v>97</v>
      </c>
      <c r="N475">
        <f>IF(Table1[[#This Row],[Employment_Status]]="Exited",1,0)</f>
        <v>0</v>
      </c>
      <c r="O475" t="str" cm="1">
        <f t="array" ref="O475">_xlfn.IFS(AND(Table1[[#This Row],[Age]]&gt;=22,Table1[[#This Row],[Age]]&lt;=35),"22-35",AND(Table1[[#This Row],[Age]]&gt;=36,Table1[[#This Row],[Age]]&lt;=45),"36-45",AND(Table1[[#This Row],[Age]]&gt;=46,Table1[[#This Row],[Age]]&lt;=55),"46-55")</f>
        <v>22-35</v>
      </c>
      <c r="P475">
        <f>IF(Table1[[#This Row],[Employment_Status]]="active",1,0)</f>
        <v>1</v>
      </c>
      <c r="Q475">
        <v>1</v>
      </c>
      <c r="R475" s="6">
        <f ca="1">YEARFRAC(Table1[[#This Row],[Hire_Date]],IF(Table1[[#This Row],[Employment_Status]]="Exited",Table1[[#This Row],[Exit_Date]],TODAY()))</f>
        <v>5.8305555555555557</v>
      </c>
      <c r="S475" t="str" cm="1">
        <f t="array" aca="1" ref="S475" ca="1">_xlfn.IFS(AND(Table1[[#This Row],[Tenure]]&gt;=0,Table1[[#This Row],[Tenure]]&lt;=1),"0-1",AND(Table1[[#This Row],[Tenure]]&gt;1,Table1[[#This Row],[Tenure]]&lt;=3),"1-3",AND(Table1[[#This Row],[Tenure]]&gt;3,Table1[[#This Row],[Tenure]]&lt;=5),"3-5",AND(Table1[[#This Row],[Tenure]]&gt;5,Table1[[#This Row],[Tenure]]&lt;=8),"5-8")</f>
        <v>5-8</v>
      </c>
      <c r="T475" t="str" cm="1">
        <f t="array" ref="T475">_xlfn.IFS(AND(Table1[[#This Row],[Salary]]&gt;=180000, Table1[[#This Row],[Salary]] &lt;=500000),"Low (180k-500k)", AND(Table1[[#This Row],[Salary]]&gt;500000, Table1[[#This Row],[Salary]]&lt;=800000), "Medium (501k-800k)", AND(Table1[[#This Row],[Salary]]&gt;800000, Table1[[#This Row],[Salary]]&lt;1200000), "High (801k - 1.2m)")</f>
        <v>High (801k - 1.2m)</v>
      </c>
    </row>
    <row r="476" spans="1:20" x14ac:dyDescent="0.2">
      <c r="A476">
        <v>475</v>
      </c>
      <c r="B476" t="s">
        <v>19</v>
      </c>
      <c r="C476" t="s">
        <v>14</v>
      </c>
      <c r="D476">
        <v>42</v>
      </c>
      <c r="E476" t="s">
        <v>15</v>
      </c>
      <c r="F476" t="s">
        <v>34</v>
      </c>
      <c r="G476">
        <v>1044021</v>
      </c>
      <c r="H476" t="s">
        <v>521</v>
      </c>
      <c r="J476" t="s">
        <v>18</v>
      </c>
      <c r="K476">
        <v>5</v>
      </c>
      <c r="L476">
        <v>50</v>
      </c>
      <c r="M476">
        <v>89</v>
      </c>
      <c r="N476">
        <f>IF(Table1[[#This Row],[Employment_Status]]="Exited",1,0)</f>
        <v>0</v>
      </c>
      <c r="O476" t="str" cm="1">
        <f t="array" ref="O476">_xlfn.IFS(AND(Table1[[#This Row],[Age]]&gt;=22,Table1[[#This Row],[Age]]&lt;=35),"22-35",AND(Table1[[#This Row],[Age]]&gt;=36,Table1[[#This Row],[Age]]&lt;=45),"36-45",AND(Table1[[#This Row],[Age]]&gt;=46,Table1[[#This Row],[Age]]&lt;=55),"46-55")</f>
        <v>36-45</v>
      </c>
      <c r="P476">
        <f>IF(Table1[[#This Row],[Employment_Status]]="active",1,0)</f>
        <v>1</v>
      </c>
      <c r="Q476">
        <v>1</v>
      </c>
      <c r="R476" s="6">
        <f ca="1">YEARFRAC(Table1[[#This Row],[Hire_Date]],IF(Table1[[#This Row],[Employment_Status]]="Exited",Table1[[#This Row],[Exit_Date]],TODAY()))</f>
        <v>7.0750000000000002</v>
      </c>
      <c r="S476" t="str" cm="1">
        <f t="array" aca="1" ref="S476" ca="1">_xlfn.IFS(AND(Table1[[#This Row],[Tenure]]&gt;=0,Table1[[#This Row],[Tenure]]&lt;=1),"0-1",AND(Table1[[#This Row],[Tenure]]&gt;1,Table1[[#This Row],[Tenure]]&lt;=3),"1-3",AND(Table1[[#This Row],[Tenure]]&gt;3,Table1[[#This Row],[Tenure]]&lt;=5),"3-5",AND(Table1[[#This Row],[Tenure]]&gt;5,Table1[[#This Row],[Tenure]]&lt;=8),"5-8")</f>
        <v>5-8</v>
      </c>
      <c r="T476" t="str" cm="1">
        <f t="array" ref="T476">_xlfn.IFS(AND(Table1[[#This Row],[Salary]]&gt;=180000, Table1[[#This Row],[Salary]] &lt;=500000),"Low (180k-500k)", AND(Table1[[#This Row],[Salary]]&gt;500000, Table1[[#This Row],[Salary]]&lt;=800000), "Medium (501k-800k)", AND(Table1[[#This Row],[Salary]]&gt;800000, Table1[[#This Row],[Salary]]&lt;1200000), "High (801k - 1.2m)")</f>
        <v>High (801k - 1.2m)</v>
      </c>
    </row>
    <row r="477" spans="1:20" x14ac:dyDescent="0.2">
      <c r="A477">
        <v>476</v>
      </c>
      <c r="B477" t="s">
        <v>40</v>
      </c>
      <c r="C477" t="s">
        <v>14</v>
      </c>
      <c r="D477">
        <v>30</v>
      </c>
      <c r="E477" t="s">
        <v>21</v>
      </c>
      <c r="F477" t="s">
        <v>22</v>
      </c>
      <c r="G477">
        <v>523956</v>
      </c>
      <c r="H477" t="s">
        <v>251</v>
      </c>
      <c r="I477" t="s">
        <v>408</v>
      </c>
      <c r="J477" t="s">
        <v>55</v>
      </c>
      <c r="K477">
        <v>4</v>
      </c>
      <c r="L477">
        <v>15</v>
      </c>
      <c r="M477">
        <v>77</v>
      </c>
      <c r="N477">
        <f>IF(Table1[[#This Row],[Employment_Status]]="Exited",1,0)</f>
        <v>1</v>
      </c>
      <c r="O477" t="str" cm="1">
        <f t="array" ref="O477">_xlfn.IFS(AND(Table1[[#This Row],[Age]]&gt;=22,Table1[[#This Row],[Age]]&lt;=35),"22-35",AND(Table1[[#This Row],[Age]]&gt;=36,Table1[[#This Row],[Age]]&lt;=45),"36-45",AND(Table1[[#This Row],[Age]]&gt;=46,Table1[[#This Row],[Age]]&lt;=55),"46-55")</f>
        <v>22-35</v>
      </c>
      <c r="P477">
        <f>IF(Table1[[#This Row],[Employment_Status]]="active",1,0)</f>
        <v>0</v>
      </c>
      <c r="Q477">
        <v>1</v>
      </c>
      <c r="R477" s="6">
        <f ca="1">YEARFRAC(Table1[[#This Row],[Hire_Date]],IF(Table1[[#This Row],[Employment_Status]]="Exited",Table1[[#This Row],[Exit_Date]],TODAY()))</f>
        <v>3.1111111111111112</v>
      </c>
      <c r="S477" t="str" cm="1">
        <f t="array" aca="1" ref="S477" ca="1">_xlfn.IFS(AND(Table1[[#This Row],[Tenure]]&gt;=0,Table1[[#This Row],[Tenure]]&lt;=1),"0-1",AND(Table1[[#This Row],[Tenure]]&gt;1,Table1[[#This Row],[Tenure]]&lt;=3),"1-3",AND(Table1[[#This Row],[Tenure]]&gt;3,Table1[[#This Row],[Tenure]]&lt;=5),"3-5",AND(Table1[[#This Row],[Tenure]]&gt;5,Table1[[#This Row],[Tenure]]&lt;=8),"5-8")</f>
        <v>3-5</v>
      </c>
      <c r="T477" t="str" cm="1">
        <f t="array" ref="T477">_xlfn.IFS(AND(Table1[[#This Row],[Salary]]&gt;=180000, Table1[[#This Row],[Salary]] &lt;=500000),"Low (180k-500k)", AND(Table1[[#This Row],[Salary]]&gt;500000, Table1[[#This Row],[Salary]]&lt;=800000), "Medium (501k-800k)", AND(Table1[[#This Row],[Salary]]&gt;800000, Table1[[#This Row],[Salary]]&lt;1200000), "High (801k - 1.2m)")</f>
        <v>Medium (501k-800k)</v>
      </c>
    </row>
    <row r="478" spans="1:20" x14ac:dyDescent="0.2">
      <c r="A478">
        <v>477</v>
      </c>
      <c r="B478" t="s">
        <v>58</v>
      </c>
      <c r="C478" t="s">
        <v>20</v>
      </c>
      <c r="D478">
        <v>49</v>
      </c>
      <c r="E478" t="s">
        <v>15</v>
      </c>
      <c r="F478" t="s">
        <v>34</v>
      </c>
      <c r="G478">
        <v>998857</v>
      </c>
      <c r="H478" t="s">
        <v>522</v>
      </c>
      <c r="J478" t="s">
        <v>18</v>
      </c>
      <c r="K478">
        <v>3</v>
      </c>
      <c r="L478">
        <v>2</v>
      </c>
      <c r="M478">
        <v>100</v>
      </c>
      <c r="N478">
        <f>IF(Table1[[#This Row],[Employment_Status]]="Exited",1,0)</f>
        <v>0</v>
      </c>
      <c r="O478" t="str" cm="1">
        <f t="array" ref="O478">_xlfn.IFS(AND(Table1[[#This Row],[Age]]&gt;=22,Table1[[#This Row],[Age]]&lt;=35),"22-35",AND(Table1[[#This Row],[Age]]&gt;=36,Table1[[#This Row],[Age]]&lt;=45),"36-45",AND(Table1[[#This Row],[Age]]&gt;=46,Table1[[#This Row],[Age]]&lt;=55),"46-55")</f>
        <v>46-55</v>
      </c>
      <c r="P478">
        <f>IF(Table1[[#This Row],[Employment_Status]]="active",1,0)</f>
        <v>1</v>
      </c>
      <c r="Q478">
        <v>1</v>
      </c>
      <c r="R478" s="6">
        <f ca="1">YEARFRAC(Table1[[#This Row],[Hire_Date]],IF(Table1[[#This Row],[Employment_Status]]="Exited",Table1[[#This Row],[Exit_Date]],TODAY()))</f>
        <v>7.2388888888888889</v>
      </c>
      <c r="S478" t="str" cm="1">
        <f t="array" aca="1" ref="S478" ca="1">_xlfn.IFS(AND(Table1[[#This Row],[Tenure]]&gt;=0,Table1[[#This Row],[Tenure]]&lt;=1),"0-1",AND(Table1[[#This Row],[Tenure]]&gt;1,Table1[[#This Row],[Tenure]]&lt;=3),"1-3",AND(Table1[[#This Row],[Tenure]]&gt;3,Table1[[#This Row],[Tenure]]&lt;=5),"3-5",AND(Table1[[#This Row],[Tenure]]&gt;5,Table1[[#This Row],[Tenure]]&lt;=8),"5-8")</f>
        <v>5-8</v>
      </c>
      <c r="T478" t="str" cm="1">
        <f t="array" ref="T478">_xlfn.IFS(AND(Table1[[#This Row],[Salary]]&gt;=180000, Table1[[#This Row],[Salary]] &lt;=500000),"Low (180k-500k)", AND(Table1[[#This Row],[Salary]]&gt;500000, Table1[[#This Row],[Salary]]&lt;=800000), "Medium (501k-800k)", AND(Table1[[#This Row],[Salary]]&gt;800000, Table1[[#This Row],[Salary]]&lt;1200000), "High (801k - 1.2m)")</f>
        <v>High (801k - 1.2m)</v>
      </c>
    </row>
    <row r="479" spans="1:20" x14ac:dyDescent="0.2">
      <c r="A479">
        <v>478</v>
      </c>
      <c r="B479" t="s">
        <v>26</v>
      </c>
      <c r="C479" t="s">
        <v>20</v>
      </c>
      <c r="D479">
        <v>40</v>
      </c>
      <c r="E479" t="s">
        <v>15</v>
      </c>
      <c r="F479" t="s">
        <v>27</v>
      </c>
      <c r="G479">
        <v>500136</v>
      </c>
      <c r="H479" t="s">
        <v>523</v>
      </c>
      <c r="J479" t="s">
        <v>18</v>
      </c>
      <c r="K479">
        <v>4</v>
      </c>
      <c r="L479">
        <v>19</v>
      </c>
      <c r="M479">
        <v>92</v>
      </c>
      <c r="N479">
        <f>IF(Table1[[#This Row],[Employment_Status]]="Exited",1,0)</f>
        <v>0</v>
      </c>
      <c r="O479" t="str" cm="1">
        <f t="array" ref="O479">_xlfn.IFS(AND(Table1[[#This Row],[Age]]&gt;=22,Table1[[#This Row],[Age]]&lt;=35),"22-35",AND(Table1[[#This Row],[Age]]&gt;=36,Table1[[#This Row],[Age]]&lt;=45),"36-45",AND(Table1[[#This Row],[Age]]&gt;=46,Table1[[#This Row],[Age]]&lt;=55),"46-55")</f>
        <v>36-45</v>
      </c>
      <c r="P479">
        <f>IF(Table1[[#This Row],[Employment_Status]]="active",1,0)</f>
        <v>1</v>
      </c>
      <c r="Q479">
        <v>1</v>
      </c>
      <c r="R479" s="6">
        <f ca="1">YEARFRAC(Table1[[#This Row],[Hire_Date]],IF(Table1[[#This Row],[Employment_Status]]="Exited",Table1[[#This Row],[Exit_Date]],TODAY()))</f>
        <v>6.6861111111111109</v>
      </c>
      <c r="S479" t="str" cm="1">
        <f t="array" aca="1" ref="S479" ca="1">_xlfn.IFS(AND(Table1[[#This Row],[Tenure]]&gt;=0,Table1[[#This Row],[Tenure]]&lt;=1),"0-1",AND(Table1[[#This Row],[Tenure]]&gt;1,Table1[[#This Row],[Tenure]]&lt;=3),"1-3",AND(Table1[[#This Row],[Tenure]]&gt;3,Table1[[#This Row],[Tenure]]&lt;=5),"3-5",AND(Table1[[#This Row],[Tenure]]&gt;5,Table1[[#This Row],[Tenure]]&lt;=8),"5-8")</f>
        <v>5-8</v>
      </c>
      <c r="T479" t="str" cm="1">
        <f t="array" ref="T479">_xlfn.IFS(AND(Table1[[#This Row],[Salary]]&gt;=180000, Table1[[#This Row],[Salary]] &lt;=500000),"Low (180k-500k)", AND(Table1[[#This Row],[Salary]]&gt;500000, Table1[[#This Row],[Salary]]&lt;=800000), "Medium (501k-800k)", AND(Table1[[#This Row],[Salary]]&gt;800000, Table1[[#This Row],[Salary]]&lt;1200000), "High (801k - 1.2m)")</f>
        <v>Medium (501k-800k)</v>
      </c>
    </row>
    <row r="480" spans="1:20" x14ac:dyDescent="0.2">
      <c r="A480">
        <v>479</v>
      </c>
      <c r="B480" t="s">
        <v>19</v>
      </c>
      <c r="C480" t="s">
        <v>20</v>
      </c>
      <c r="D480">
        <v>39</v>
      </c>
      <c r="E480" t="s">
        <v>49</v>
      </c>
      <c r="F480" t="s">
        <v>16</v>
      </c>
      <c r="G480">
        <v>535134</v>
      </c>
      <c r="H480" t="s">
        <v>401</v>
      </c>
      <c r="J480" t="s">
        <v>18</v>
      </c>
      <c r="K480">
        <v>5</v>
      </c>
      <c r="L480">
        <v>43</v>
      </c>
      <c r="M480">
        <v>88</v>
      </c>
      <c r="N480">
        <f>IF(Table1[[#This Row],[Employment_Status]]="Exited",1,0)</f>
        <v>0</v>
      </c>
      <c r="O480" t="str" cm="1">
        <f t="array" ref="O480">_xlfn.IFS(AND(Table1[[#This Row],[Age]]&gt;=22,Table1[[#This Row],[Age]]&lt;=35),"22-35",AND(Table1[[#This Row],[Age]]&gt;=36,Table1[[#This Row],[Age]]&lt;=45),"36-45",AND(Table1[[#This Row],[Age]]&gt;=46,Table1[[#This Row],[Age]]&lt;=55),"46-55")</f>
        <v>36-45</v>
      </c>
      <c r="P480">
        <f>IF(Table1[[#This Row],[Employment_Status]]="active",1,0)</f>
        <v>1</v>
      </c>
      <c r="Q480">
        <v>1</v>
      </c>
      <c r="R480" s="6">
        <f ca="1">YEARFRAC(Table1[[#This Row],[Hire_Date]],IF(Table1[[#This Row],[Employment_Status]]="Exited",Table1[[#This Row],[Exit_Date]],TODAY()))</f>
        <v>3.7722222222222221</v>
      </c>
      <c r="S480" t="str" cm="1">
        <f t="array" aca="1" ref="S480" ca="1">_xlfn.IFS(AND(Table1[[#This Row],[Tenure]]&gt;=0,Table1[[#This Row],[Tenure]]&lt;=1),"0-1",AND(Table1[[#This Row],[Tenure]]&gt;1,Table1[[#This Row],[Tenure]]&lt;=3),"1-3",AND(Table1[[#This Row],[Tenure]]&gt;3,Table1[[#This Row],[Tenure]]&lt;=5),"3-5",AND(Table1[[#This Row],[Tenure]]&gt;5,Table1[[#This Row],[Tenure]]&lt;=8),"5-8")</f>
        <v>3-5</v>
      </c>
      <c r="T480" t="str" cm="1">
        <f t="array" ref="T480">_xlfn.IFS(AND(Table1[[#This Row],[Salary]]&gt;=180000, Table1[[#This Row],[Salary]] &lt;=500000),"Low (180k-500k)", AND(Table1[[#This Row],[Salary]]&gt;500000, Table1[[#This Row],[Salary]]&lt;=800000), "Medium (501k-800k)", AND(Table1[[#This Row],[Salary]]&gt;800000, Table1[[#This Row],[Salary]]&lt;1200000), "High (801k - 1.2m)")</f>
        <v>Medium (501k-800k)</v>
      </c>
    </row>
    <row r="481" spans="1:20" x14ac:dyDescent="0.2">
      <c r="A481">
        <v>480</v>
      </c>
      <c r="B481" t="s">
        <v>40</v>
      </c>
      <c r="C481" t="s">
        <v>14</v>
      </c>
      <c r="D481">
        <v>52</v>
      </c>
      <c r="E481" t="s">
        <v>15</v>
      </c>
      <c r="F481" t="s">
        <v>27</v>
      </c>
      <c r="G481">
        <v>1179705</v>
      </c>
      <c r="H481" t="s">
        <v>524</v>
      </c>
      <c r="J481" t="s">
        <v>18</v>
      </c>
      <c r="K481">
        <v>1</v>
      </c>
      <c r="L481">
        <v>14</v>
      </c>
      <c r="M481">
        <v>67</v>
      </c>
      <c r="N481">
        <f>IF(Table1[[#This Row],[Employment_Status]]="Exited",1,0)</f>
        <v>0</v>
      </c>
      <c r="O481" t="str" cm="1">
        <f t="array" ref="O481">_xlfn.IFS(AND(Table1[[#This Row],[Age]]&gt;=22,Table1[[#This Row],[Age]]&lt;=35),"22-35",AND(Table1[[#This Row],[Age]]&gt;=36,Table1[[#This Row],[Age]]&lt;=45),"36-45",AND(Table1[[#This Row],[Age]]&gt;=46,Table1[[#This Row],[Age]]&lt;=55),"46-55")</f>
        <v>46-55</v>
      </c>
      <c r="P481">
        <f>IF(Table1[[#This Row],[Employment_Status]]="active",1,0)</f>
        <v>1</v>
      </c>
      <c r="Q481">
        <v>1</v>
      </c>
      <c r="R481" s="6">
        <f ca="1">YEARFRAC(Table1[[#This Row],[Hire_Date]],IF(Table1[[#This Row],[Employment_Status]]="Exited",Table1[[#This Row],[Exit_Date]],TODAY()))</f>
        <v>3.588888888888889</v>
      </c>
      <c r="S481" t="str" cm="1">
        <f t="array" aca="1" ref="S481" ca="1">_xlfn.IFS(AND(Table1[[#This Row],[Tenure]]&gt;=0,Table1[[#This Row],[Tenure]]&lt;=1),"0-1",AND(Table1[[#This Row],[Tenure]]&gt;1,Table1[[#This Row],[Tenure]]&lt;=3),"1-3",AND(Table1[[#This Row],[Tenure]]&gt;3,Table1[[#This Row],[Tenure]]&lt;=5),"3-5",AND(Table1[[#This Row],[Tenure]]&gt;5,Table1[[#This Row],[Tenure]]&lt;=8),"5-8")</f>
        <v>3-5</v>
      </c>
      <c r="T481" t="str" cm="1">
        <f t="array" ref="T481">_xlfn.IFS(AND(Table1[[#This Row],[Salary]]&gt;=180000, Table1[[#This Row],[Salary]] &lt;=500000),"Low (180k-500k)", AND(Table1[[#This Row],[Salary]]&gt;500000, Table1[[#This Row],[Salary]]&lt;=800000), "Medium (501k-800k)", AND(Table1[[#This Row],[Salary]]&gt;800000, Table1[[#This Row],[Salary]]&lt;1200000), "High (801k - 1.2m)")</f>
        <v>High (801k - 1.2m)</v>
      </c>
    </row>
    <row r="482" spans="1:20" x14ac:dyDescent="0.2">
      <c r="A482">
        <v>481</v>
      </c>
      <c r="B482" t="s">
        <v>24</v>
      </c>
      <c r="C482" t="s">
        <v>20</v>
      </c>
      <c r="D482">
        <v>35</v>
      </c>
      <c r="E482" t="s">
        <v>21</v>
      </c>
      <c r="F482" t="s">
        <v>22</v>
      </c>
      <c r="G482">
        <v>425784</v>
      </c>
      <c r="H482" t="s">
        <v>525</v>
      </c>
      <c r="J482" t="s">
        <v>18</v>
      </c>
      <c r="K482">
        <v>4</v>
      </c>
      <c r="L482">
        <v>41</v>
      </c>
      <c r="M482">
        <v>98</v>
      </c>
      <c r="N482">
        <f>IF(Table1[[#This Row],[Employment_Status]]="Exited",1,0)</f>
        <v>0</v>
      </c>
      <c r="O482" t="str" cm="1">
        <f t="array" ref="O482">_xlfn.IFS(AND(Table1[[#This Row],[Age]]&gt;=22,Table1[[#This Row],[Age]]&lt;=35),"22-35",AND(Table1[[#This Row],[Age]]&gt;=36,Table1[[#This Row],[Age]]&lt;=45),"36-45",AND(Table1[[#This Row],[Age]]&gt;=46,Table1[[#This Row],[Age]]&lt;=55),"46-55")</f>
        <v>22-35</v>
      </c>
      <c r="P482">
        <f>IF(Table1[[#This Row],[Employment_Status]]="active",1,0)</f>
        <v>1</v>
      </c>
      <c r="Q482">
        <v>1</v>
      </c>
      <c r="R482" s="6">
        <f ca="1">YEARFRAC(Table1[[#This Row],[Hire_Date]],IF(Table1[[#This Row],[Employment_Status]]="Exited",Table1[[#This Row],[Exit_Date]],TODAY()))</f>
        <v>7.3666666666666663</v>
      </c>
      <c r="S482" t="str" cm="1">
        <f t="array" aca="1" ref="S482" ca="1">_xlfn.IFS(AND(Table1[[#This Row],[Tenure]]&gt;=0,Table1[[#This Row],[Tenure]]&lt;=1),"0-1",AND(Table1[[#This Row],[Tenure]]&gt;1,Table1[[#This Row],[Tenure]]&lt;=3),"1-3",AND(Table1[[#This Row],[Tenure]]&gt;3,Table1[[#This Row],[Tenure]]&lt;=5),"3-5",AND(Table1[[#This Row],[Tenure]]&gt;5,Table1[[#This Row],[Tenure]]&lt;=8),"5-8")</f>
        <v>5-8</v>
      </c>
      <c r="T482" t="str" cm="1">
        <f t="array" ref="T482">_xlfn.IFS(AND(Table1[[#This Row],[Salary]]&gt;=180000, Table1[[#This Row],[Salary]] &lt;=500000),"Low (180k-500k)", AND(Table1[[#This Row],[Salary]]&gt;500000, Table1[[#This Row],[Salary]]&lt;=800000), "Medium (501k-800k)", AND(Table1[[#This Row],[Salary]]&gt;800000, Table1[[#This Row],[Salary]]&lt;1200000), "High (801k - 1.2m)")</f>
        <v>Low (180k-500k)</v>
      </c>
    </row>
    <row r="483" spans="1:20" x14ac:dyDescent="0.2">
      <c r="A483">
        <v>482</v>
      </c>
      <c r="B483" t="s">
        <v>31</v>
      </c>
      <c r="C483" t="s">
        <v>14</v>
      </c>
      <c r="D483">
        <v>25</v>
      </c>
      <c r="E483" t="s">
        <v>61</v>
      </c>
      <c r="F483" t="s">
        <v>22</v>
      </c>
      <c r="G483">
        <v>291067</v>
      </c>
      <c r="H483" t="s">
        <v>526</v>
      </c>
      <c r="J483" t="s">
        <v>18</v>
      </c>
      <c r="K483">
        <v>4</v>
      </c>
      <c r="L483">
        <v>15</v>
      </c>
      <c r="M483">
        <v>79</v>
      </c>
      <c r="N483">
        <f>IF(Table1[[#This Row],[Employment_Status]]="Exited",1,0)</f>
        <v>0</v>
      </c>
      <c r="O483" t="str" cm="1">
        <f t="array" ref="O483">_xlfn.IFS(AND(Table1[[#This Row],[Age]]&gt;=22,Table1[[#This Row],[Age]]&lt;=35),"22-35",AND(Table1[[#This Row],[Age]]&gt;=36,Table1[[#This Row],[Age]]&lt;=45),"36-45",AND(Table1[[#This Row],[Age]]&gt;=46,Table1[[#This Row],[Age]]&lt;=55),"46-55")</f>
        <v>22-35</v>
      </c>
      <c r="P483">
        <f>IF(Table1[[#This Row],[Employment_Status]]="active",1,0)</f>
        <v>1</v>
      </c>
      <c r="Q483">
        <v>1</v>
      </c>
      <c r="R483" s="6">
        <f ca="1">YEARFRAC(Table1[[#This Row],[Hire_Date]],IF(Table1[[#This Row],[Employment_Status]]="Exited",Table1[[#This Row],[Exit_Date]],TODAY()))</f>
        <v>1.9805555555555556</v>
      </c>
      <c r="S483" t="str" cm="1">
        <f t="array" aca="1" ref="S483" ca="1">_xlfn.IFS(AND(Table1[[#This Row],[Tenure]]&gt;=0,Table1[[#This Row],[Tenure]]&lt;=1),"0-1",AND(Table1[[#This Row],[Tenure]]&gt;1,Table1[[#This Row],[Tenure]]&lt;=3),"1-3",AND(Table1[[#This Row],[Tenure]]&gt;3,Table1[[#This Row],[Tenure]]&lt;=5),"3-5",AND(Table1[[#This Row],[Tenure]]&gt;5,Table1[[#This Row],[Tenure]]&lt;=8),"5-8")</f>
        <v>1-3</v>
      </c>
      <c r="T483" t="str" cm="1">
        <f t="array" ref="T483">_xlfn.IFS(AND(Table1[[#This Row],[Salary]]&gt;=180000, Table1[[#This Row],[Salary]] &lt;=500000),"Low (180k-500k)", AND(Table1[[#This Row],[Salary]]&gt;500000, Table1[[#This Row],[Salary]]&lt;=800000), "Medium (501k-800k)", AND(Table1[[#This Row],[Salary]]&gt;800000, Table1[[#This Row],[Salary]]&lt;1200000), "High (801k - 1.2m)")</f>
        <v>Low (180k-500k)</v>
      </c>
    </row>
    <row r="484" spans="1:20" x14ac:dyDescent="0.2">
      <c r="A484">
        <v>483</v>
      </c>
      <c r="B484" t="s">
        <v>47</v>
      </c>
      <c r="C484" t="s">
        <v>14</v>
      </c>
      <c r="D484">
        <v>25</v>
      </c>
      <c r="E484" t="s">
        <v>21</v>
      </c>
      <c r="F484" t="s">
        <v>27</v>
      </c>
      <c r="G484">
        <v>257243</v>
      </c>
      <c r="H484" t="s">
        <v>223</v>
      </c>
      <c r="J484" t="s">
        <v>18</v>
      </c>
      <c r="K484">
        <v>4</v>
      </c>
      <c r="L484">
        <v>38</v>
      </c>
      <c r="M484">
        <v>86</v>
      </c>
      <c r="N484">
        <f>IF(Table1[[#This Row],[Employment_Status]]="Exited",1,0)</f>
        <v>0</v>
      </c>
      <c r="O484" t="str" cm="1">
        <f t="array" ref="O484">_xlfn.IFS(AND(Table1[[#This Row],[Age]]&gt;=22,Table1[[#This Row],[Age]]&lt;=35),"22-35",AND(Table1[[#This Row],[Age]]&gt;=36,Table1[[#This Row],[Age]]&lt;=45),"36-45",AND(Table1[[#This Row],[Age]]&gt;=46,Table1[[#This Row],[Age]]&lt;=55),"46-55")</f>
        <v>22-35</v>
      </c>
      <c r="P484">
        <f>IF(Table1[[#This Row],[Employment_Status]]="active",1,0)</f>
        <v>1</v>
      </c>
      <c r="Q484">
        <v>1</v>
      </c>
      <c r="R484" s="6">
        <f ca="1">YEARFRAC(Table1[[#This Row],[Hire_Date]],IF(Table1[[#This Row],[Employment_Status]]="Exited",Table1[[#This Row],[Exit_Date]],TODAY()))</f>
        <v>3.5333333333333332</v>
      </c>
      <c r="S484" t="str" cm="1">
        <f t="array" aca="1" ref="S484" ca="1">_xlfn.IFS(AND(Table1[[#This Row],[Tenure]]&gt;=0,Table1[[#This Row],[Tenure]]&lt;=1),"0-1",AND(Table1[[#This Row],[Tenure]]&gt;1,Table1[[#This Row],[Tenure]]&lt;=3),"1-3",AND(Table1[[#This Row],[Tenure]]&gt;3,Table1[[#This Row],[Tenure]]&lt;=5),"3-5",AND(Table1[[#This Row],[Tenure]]&gt;5,Table1[[#This Row],[Tenure]]&lt;=8),"5-8")</f>
        <v>3-5</v>
      </c>
      <c r="T484" t="str" cm="1">
        <f t="array" ref="T484">_xlfn.IFS(AND(Table1[[#This Row],[Salary]]&gt;=180000, Table1[[#This Row],[Salary]] &lt;=500000),"Low (180k-500k)", AND(Table1[[#This Row],[Salary]]&gt;500000, Table1[[#This Row],[Salary]]&lt;=800000), "Medium (501k-800k)", AND(Table1[[#This Row],[Salary]]&gt;800000, Table1[[#This Row],[Salary]]&lt;1200000), "High (801k - 1.2m)")</f>
        <v>Low (180k-500k)</v>
      </c>
    </row>
    <row r="485" spans="1:20" x14ac:dyDescent="0.2">
      <c r="A485">
        <v>484</v>
      </c>
      <c r="B485" t="s">
        <v>19</v>
      </c>
      <c r="C485" t="s">
        <v>14</v>
      </c>
      <c r="D485">
        <v>48</v>
      </c>
      <c r="E485" t="s">
        <v>21</v>
      </c>
      <c r="F485" t="s">
        <v>27</v>
      </c>
      <c r="G485">
        <v>628316</v>
      </c>
      <c r="H485" t="s">
        <v>527</v>
      </c>
      <c r="J485" t="s">
        <v>18</v>
      </c>
      <c r="K485">
        <v>3</v>
      </c>
      <c r="L485">
        <v>1</v>
      </c>
      <c r="M485">
        <v>76</v>
      </c>
      <c r="N485">
        <f>IF(Table1[[#This Row],[Employment_Status]]="Exited",1,0)</f>
        <v>0</v>
      </c>
      <c r="O485" t="str" cm="1">
        <f t="array" ref="O485">_xlfn.IFS(AND(Table1[[#This Row],[Age]]&gt;=22,Table1[[#This Row],[Age]]&lt;=35),"22-35",AND(Table1[[#This Row],[Age]]&gt;=36,Table1[[#This Row],[Age]]&lt;=45),"36-45",AND(Table1[[#This Row],[Age]]&gt;=46,Table1[[#This Row],[Age]]&lt;=55),"46-55")</f>
        <v>46-55</v>
      </c>
      <c r="P485">
        <f>IF(Table1[[#This Row],[Employment_Status]]="active",1,0)</f>
        <v>1</v>
      </c>
      <c r="Q485">
        <v>1</v>
      </c>
      <c r="R485" s="6">
        <f ca="1">YEARFRAC(Table1[[#This Row],[Hire_Date]],IF(Table1[[#This Row],[Employment_Status]]="Exited",Table1[[#This Row],[Exit_Date]],TODAY()))</f>
        <v>4.6083333333333334</v>
      </c>
      <c r="S485" t="str" cm="1">
        <f t="array" aca="1" ref="S485" ca="1">_xlfn.IFS(AND(Table1[[#This Row],[Tenure]]&gt;=0,Table1[[#This Row],[Tenure]]&lt;=1),"0-1",AND(Table1[[#This Row],[Tenure]]&gt;1,Table1[[#This Row],[Tenure]]&lt;=3),"1-3",AND(Table1[[#This Row],[Tenure]]&gt;3,Table1[[#This Row],[Tenure]]&lt;=5),"3-5",AND(Table1[[#This Row],[Tenure]]&gt;5,Table1[[#This Row],[Tenure]]&lt;=8),"5-8")</f>
        <v>3-5</v>
      </c>
      <c r="T485" t="str" cm="1">
        <f t="array" ref="T485">_xlfn.IFS(AND(Table1[[#This Row],[Salary]]&gt;=180000, Table1[[#This Row],[Salary]] &lt;=500000),"Low (180k-500k)", AND(Table1[[#This Row],[Salary]]&gt;500000, Table1[[#This Row],[Salary]]&lt;=800000), "Medium (501k-800k)", AND(Table1[[#This Row],[Salary]]&gt;800000, Table1[[#This Row],[Salary]]&lt;1200000), "High (801k - 1.2m)")</f>
        <v>Medium (501k-800k)</v>
      </c>
    </row>
    <row r="486" spans="1:20" x14ac:dyDescent="0.2">
      <c r="A486">
        <v>485</v>
      </c>
      <c r="B486" t="s">
        <v>58</v>
      </c>
      <c r="C486" t="s">
        <v>20</v>
      </c>
      <c r="D486">
        <v>27</v>
      </c>
      <c r="E486" t="s">
        <v>49</v>
      </c>
      <c r="F486" t="s">
        <v>22</v>
      </c>
      <c r="G486">
        <v>430004</v>
      </c>
      <c r="H486" t="s">
        <v>528</v>
      </c>
      <c r="J486" t="s">
        <v>18</v>
      </c>
      <c r="K486">
        <v>4</v>
      </c>
      <c r="L486">
        <v>46</v>
      </c>
      <c r="M486">
        <v>78</v>
      </c>
      <c r="N486">
        <f>IF(Table1[[#This Row],[Employment_Status]]="Exited",1,0)</f>
        <v>0</v>
      </c>
      <c r="O486" t="str" cm="1">
        <f t="array" ref="O486">_xlfn.IFS(AND(Table1[[#This Row],[Age]]&gt;=22,Table1[[#This Row],[Age]]&lt;=35),"22-35",AND(Table1[[#This Row],[Age]]&gt;=36,Table1[[#This Row],[Age]]&lt;=45),"36-45",AND(Table1[[#This Row],[Age]]&gt;=46,Table1[[#This Row],[Age]]&lt;=55),"46-55")</f>
        <v>22-35</v>
      </c>
      <c r="P486">
        <f>IF(Table1[[#This Row],[Employment_Status]]="active",1,0)</f>
        <v>1</v>
      </c>
      <c r="Q486">
        <v>1</v>
      </c>
      <c r="R486" s="6">
        <f ca="1">YEARFRAC(Table1[[#This Row],[Hire_Date]],IF(Table1[[#This Row],[Employment_Status]]="Exited",Table1[[#This Row],[Exit_Date]],TODAY()))</f>
        <v>2.4166666666666665</v>
      </c>
      <c r="S486" t="str" cm="1">
        <f t="array" aca="1" ref="S486" ca="1">_xlfn.IFS(AND(Table1[[#This Row],[Tenure]]&gt;=0,Table1[[#This Row],[Tenure]]&lt;=1),"0-1",AND(Table1[[#This Row],[Tenure]]&gt;1,Table1[[#This Row],[Tenure]]&lt;=3),"1-3",AND(Table1[[#This Row],[Tenure]]&gt;3,Table1[[#This Row],[Tenure]]&lt;=5),"3-5",AND(Table1[[#This Row],[Tenure]]&gt;5,Table1[[#This Row],[Tenure]]&lt;=8),"5-8")</f>
        <v>1-3</v>
      </c>
      <c r="T486" t="str" cm="1">
        <f t="array" ref="T486">_xlfn.IFS(AND(Table1[[#This Row],[Salary]]&gt;=180000, Table1[[#This Row],[Salary]] &lt;=500000),"Low (180k-500k)", AND(Table1[[#This Row],[Salary]]&gt;500000, Table1[[#This Row],[Salary]]&lt;=800000), "Medium (501k-800k)", AND(Table1[[#This Row],[Salary]]&gt;800000, Table1[[#This Row],[Salary]]&lt;1200000), "High (801k - 1.2m)")</f>
        <v>Low (180k-500k)</v>
      </c>
    </row>
    <row r="487" spans="1:20" x14ac:dyDescent="0.2">
      <c r="A487">
        <v>486</v>
      </c>
      <c r="B487" t="s">
        <v>26</v>
      </c>
      <c r="C487" t="s">
        <v>14</v>
      </c>
      <c r="D487">
        <v>34</v>
      </c>
      <c r="E487" t="s">
        <v>15</v>
      </c>
      <c r="F487" t="s">
        <v>16</v>
      </c>
      <c r="G487">
        <v>1054827</v>
      </c>
      <c r="H487" t="s">
        <v>529</v>
      </c>
      <c r="I487" t="s">
        <v>530</v>
      </c>
      <c r="J487" t="s">
        <v>55</v>
      </c>
      <c r="K487">
        <v>4</v>
      </c>
      <c r="L487">
        <v>35</v>
      </c>
      <c r="M487">
        <v>76</v>
      </c>
      <c r="N487">
        <f>IF(Table1[[#This Row],[Employment_Status]]="Exited",1,0)</f>
        <v>1</v>
      </c>
      <c r="O487" t="str" cm="1">
        <f t="array" ref="O487">_xlfn.IFS(AND(Table1[[#This Row],[Age]]&gt;=22,Table1[[#This Row],[Age]]&lt;=35),"22-35",AND(Table1[[#This Row],[Age]]&gt;=36,Table1[[#This Row],[Age]]&lt;=45),"36-45",AND(Table1[[#This Row],[Age]]&gt;=46,Table1[[#This Row],[Age]]&lt;=55),"46-55")</f>
        <v>22-35</v>
      </c>
      <c r="P487">
        <f>IF(Table1[[#This Row],[Employment_Status]]="active",1,0)</f>
        <v>0</v>
      </c>
      <c r="Q487">
        <v>1</v>
      </c>
      <c r="R487" s="6">
        <f ca="1">YEARFRAC(Table1[[#This Row],[Hire_Date]],IF(Table1[[#This Row],[Employment_Status]]="Exited",Table1[[#This Row],[Exit_Date]],TODAY()))</f>
        <v>1.2638888888888888</v>
      </c>
      <c r="S487" t="str" cm="1">
        <f t="array" aca="1" ref="S487" ca="1">_xlfn.IFS(AND(Table1[[#This Row],[Tenure]]&gt;=0,Table1[[#This Row],[Tenure]]&lt;=1),"0-1",AND(Table1[[#This Row],[Tenure]]&gt;1,Table1[[#This Row],[Tenure]]&lt;=3),"1-3",AND(Table1[[#This Row],[Tenure]]&gt;3,Table1[[#This Row],[Tenure]]&lt;=5),"3-5",AND(Table1[[#This Row],[Tenure]]&gt;5,Table1[[#This Row],[Tenure]]&lt;=8),"5-8")</f>
        <v>1-3</v>
      </c>
      <c r="T487" t="str" cm="1">
        <f t="array" ref="T487">_xlfn.IFS(AND(Table1[[#This Row],[Salary]]&gt;=180000, Table1[[#This Row],[Salary]] &lt;=500000),"Low (180k-500k)", AND(Table1[[#This Row],[Salary]]&gt;500000, Table1[[#This Row],[Salary]]&lt;=800000), "Medium (501k-800k)", AND(Table1[[#This Row],[Salary]]&gt;800000, Table1[[#This Row],[Salary]]&lt;1200000), "High (801k - 1.2m)")</f>
        <v>High (801k - 1.2m)</v>
      </c>
    </row>
    <row r="488" spans="1:20" x14ac:dyDescent="0.2">
      <c r="A488">
        <v>487</v>
      </c>
      <c r="B488" t="s">
        <v>75</v>
      </c>
      <c r="C488" t="s">
        <v>20</v>
      </c>
      <c r="D488">
        <v>37</v>
      </c>
      <c r="E488" t="s">
        <v>45</v>
      </c>
      <c r="F488" t="s">
        <v>34</v>
      </c>
      <c r="G488">
        <v>322249</v>
      </c>
      <c r="H488" t="s">
        <v>531</v>
      </c>
      <c r="J488" t="s">
        <v>18</v>
      </c>
      <c r="K488">
        <v>3</v>
      </c>
      <c r="L488">
        <v>14</v>
      </c>
      <c r="M488">
        <v>93</v>
      </c>
      <c r="N488">
        <f>IF(Table1[[#This Row],[Employment_Status]]="Exited",1,0)</f>
        <v>0</v>
      </c>
      <c r="O488" t="str" cm="1">
        <f t="array" ref="O488">_xlfn.IFS(AND(Table1[[#This Row],[Age]]&gt;=22,Table1[[#This Row],[Age]]&lt;=35),"22-35",AND(Table1[[#This Row],[Age]]&gt;=36,Table1[[#This Row],[Age]]&lt;=45),"36-45",AND(Table1[[#This Row],[Age]]&gt;=46,Table1[[#This Row],[Age]]&lt;=55),"46-55")</f>
        <v>36-45</v>
      </c>
      <c r="P488">
        <f>IF(Table1[[#This Row],[Employment_Status]]="active",1,0)</f>
        <v>1</v>
      </c>
      <c r="Q488">
        <v>1</v>
      </c>
      <c r="R488" s="6">
        <f ca="1">YEARFRAC(Table1[[#This Row],[Hire_Date]],IF(Table1[[#This Row],[Employment_Status]]="Exited",Table1[[#This Row],[Exit_Date]],TODAY()))</f>
        <v>3.1805555555555554</v>
      </c>
      <c r="S488" t="str" cm="1">
        <f t="array" aca="1" ref="S488" ca="1">_xlfn.IFS(AND(Table1[[#This Row],[Tenure]]&gt;=0,Table1[[#This Row],[Tenure]]&lt;=1),"0-1",AND(Table1[[#This Row],[Tenure]]&gt;1,Table1[[#This Row],[Tenure]]&lt;=3),"1-3",AND(Table1[[#This Row],[Tenure]]&gt;3,Table1[[#This Row],[Tenure]]&lt;=5),"3-5",AND(Table1[[#This Row],[Tenure]]&gt;5,Table1[[#This Row],[Tenure]]&lt;=8),"5-8")</f>
        <v>3-5</v>
      </c>
      <c r="T488" t="str" cm="1">
        <f t="array" ref="T488">_xlfn.IFS(AND(Table1[[#This Row],[Salary]]&gt;=180000, Table1[[#This Row],[Salary]] &lt;=500000),"Low (180k-500k)", AND(Table1[[#This Row],[Salary]]&gt;500000, Table1[[#This Row],[Salary]]&lt;=800000), "Medium (501k-800k)", AND(Table1[[#This Row],[Salary]]&gt;800000, Table1[[#This Row],[Salary]]&lt;1200000), "High (801k - 1.2m)")</f>
        <v>Low (180k-500k)</v>
      </c>
    </row>
    <row r="489" spans="1:20" x14ac:dyDescent="0.2">
      <c r="A489">
        <v>488</v>
      </c>
      <c r="B489" t="s">
        <v>33</v>
      </c>
      <c r="C489" t="s">
        <v>14</v>
      </c>
      <c r="D489">
        <v>39</v>
      </c>
      <c r="E489" t="s">
        <v>21</v>
      </c>
      <c r="F489" t="s">
        <v>16</v>
      </c>
      <c r="G489">
        <v>254431</v>
      </c>
      <c r="H489" t="s">
        <v>532</v>
      </c>
      <c r="J489" t="s">
        <v>18</v>
      </c>
      <c r="K489">
        <v>2</v>
      </c>
      <c r="L489">
        <v>19</v>
      </c>
      <c r="M489">
        <v>83</v>
      </c>
      <c r="N489">
        <f>IF(Table1[[#This Row],[Employment_Status]]="Exited",1,0)</f>
        <v>0</v>
      </c>
      <c r="O489" t="str" cm="1">
        <f t="array" ref="O489">_xlfn.IFS(AND(Table1[[#This Row],[Age]]&gt;=22,Table1[[#This Row],[Age]]&lt;=35),"22-35",AND(Table1[[#This Row],[Age]]&gt;=36,Table1[[#This Row],[Age]]&lt;=45),"36-45",AND(Table1[[#This Row],[Age]]&gt;=46,Table1[[#This Row],[Age]]&lt;=55),"46-55")</f>
        <v>36-45</v>
      </c>
      <c r="P489">
        <f>IF(Table1[[#This Row],[Employment_Status]]="active",1,0)</f>
        <v>1</v>
      </c>
      <c r="Q489">
        <v>1</v>
      </c>
      <c r="R489" s="6">
        <f ca="1">YEARFRAC(Table1[[#This Row],[Hire_Date]],IF(Table1[[#This Row],[Employment_Status]]="Exited",Table1[[#This Row],[Exit_Date]],TODAY()))</f>
        <v>4.1361111111111111</v>
      </c>
      <c r="S489" t="str" cm="1">
        <f t="array" aca="1" ref="S489" ca="1">_xlfn.IFS(AND(Table1[[#This Row],[Tenure]]&gt;=0,Table1[[#This Row],[Tenure]]&lt;=1),"0-1",AND(Table1[[#This Row],[Tenure]]&gt;1,Table1[[#This Row],[Tenure]]&lt;=3),"1-3",AND(Table1[[#This Row],[Tenure]]&gt;3,Table1[[#This Row],[Tenure]]&lt;=5),"3-5",AND(Table1[[#This Row],[Tenure]]&gt;5,Table1[[#This Row],[Tenure]]&lt;=8),"5-8")</f>
        <v>3-5</v>
      </c>
      <c r="T489" t="str" cm="1">
        <f t="array" ref="T489">_xlfn.IFS(AND(Table1[[#This Row],[Salary]]&gt;=180000, Table1[[#This Row],[Salary]] &lt;=500000),"Low (180k-500k)", AND(Table1[[#This Row],[Salary]]&gt;500000, Table1[[#This Row],[Salary]]&lt;=800000), "Medium (501k-800k)", AND(Table1[[#This Row],[Salary]]&gt;800000, Table1[[#This Row],[Salary]]&lt;1200000), "High (801k - 1.2m)")</f>
        <v>Low (180k-500k)</v>
      </c>
    </row>
    <row r="490" spans="1:20" x14ac:dyDescent="0.2">
      <c r="A490">
        <v>489</v>
      </c>
      <c r="B490" t="s">
        <v>13</v>
      </c>
      <c r="C490" t="s">
        <v>20</v>
      </c>
      <c r="D490">
        <v>42</v>
      </c>
      <c r="E490" t="s">
        <v>21</v>
      </c>
      <c r="F490" t="s">
        <v>27</v>
      </c>
      <c r="G490">
        <v>505712</v>
      </c>
      <c r="H490" t="s">
        <v>533</v>
      </c>
      <c r="J490" t="s">
        <v>18</v>
      </c>
      <c r="K490">
        <v>1</v>
      </c>
      <c r="L490">
        <v>26</v>
      </c>
      <c r="M490">
        <v>66</v>
      </c>
      <c r="N490">
        <f>IF(Table1[[#This Row],[Employment_Status]]="Exited",1,0)</f>
        <v>0</v>
      </c>
      <c r="O490" t="str" cm="1">
        <f t="array" ref="O490">_xlfn.IFS(AND(Table1[[#This Row],[Age]]&gt;=22,Table1[[#This Row],[Age]]&lt;=35),"22-35",AND(Table1[[#This Row],[Age]]&gt;=36,Table1[[#This Row],[Age]]&lt;=45),"36-45",AND(Table1[[#This Row],[Age]]&gt;=46,Table1[[#This Row],[Age]]&lt;=55),"46-55")</f>
        <v>36-45</v>
      </c>
      <c r="P490">
        <f>IF(Table1[[#This Row],[Employment_Status]]="active",1,0)</f>
        <v>1</v>
      </c>
      <c r="Q490">
        <v>1</v>
      </c>
      <c r="R490" s="6">
        <f ca="1">YEARFRAC(Table1[[#This Row],[Hire_Date]],IF(Table1[[#This Row],[Employment_Status]]="Exited",Table1[[#This Row],[Exit_Date]],TODAY()))</f>
        <v>5.0055555555555555</v>
      </c>
      <c r="S490" t="str" cm="1">
        <f t="array" aca="1" ref="S490" ca="1">_xlfn.IFS(AND(Table1[[#This Row],[Tenure]]&gt;=0,Table1[[#This Row],[Tenure]]&lt;=1),"0-1",AND(Table1[[#This Row],[Tenure]]&gt;1,Table1[[#This Row],[Tenure]]&lt;=3),"1-3",AND(Table1[[#This Row],[Tenure]]&gt;3,Table1[[#This Row],[Tenure]]&lt;=5),"3-5",AND(Table1[[#This Row],[Tenure]]&gt;5,Table1[[#This Row],[Tenure]]&lt;=8),"5-8")</f>
        <v>5-8</v>
      </c>
      <c r="T490" t="str" cm="1">
        <f t="array" ref="T490">_xlfn.IFS(AND(Table1[[#This Row],[Salary]]&gt;=180000, Table1[[#This Row],[Salary]] &lt;=500000),"Low (180k-500k)", AND(Table1[[#This Row],[Salary]]&gt;500000, Table1[[#This Row],[Salary]]&lt;=800000), "Medium (501k-800k)", AND(Table1[[#This Row],[Salary]]&gt;800000, Table1[[#This Row],[Salary]]&lt;1200000), "High (801k - 1.2m)")</f>
        <v>Medium (501k-800k)</v>
      </c>
    </row>
    <row r="491" spans="1:20" x14ac:dyDescent="0.2">
      <c r="A491">
        <v>490</v>
      </c>
      <c r="B491" t="s">
        <v>26</v>
      </c>
      <c r="C491" t="s">
        <v>14</v>
      </c>
      <c r="D491">
        <v>51</v>
      </c>
      <c r="E491" t="s">
        <v>15</v>
      </c>
      <c r="F491" t="s">
        <v>16</v>
      </c>
      <c r="G491">
        <v>401432</v>
      </c>
      <c r="H491" t="s">
        <v>534</v>
      </c>
      <c r="J491" t="s">
        <v>18</v>
      </c>
      <c r="K491">
        <v>5</v>
      </c>
      <c r="L491">
        <v>31</v>
      </c>
      <c r="M491">
        <v>81</v>
      </c>
      <c r="N491">
        <f>IF(Table1[[#This Row],[Employment_Status]]="Exited",1,0)</f>
        <v>0</v>
      </c>
      <c r="O491" t="str" cm="1">
        <f t="array" ref="O491">_xlfn.IFS(AND(Table1[[#This Row],[Age]]&gt;=22,Table1[[#This Row],[Age]]&lt;=35),"22-35",AND(Table1[[#This Row],[Age]]&gt;=36,Table1[[#This Row],[Age]]&lt;=45),"36-45",AND(Table1[[#This Row],[Age]]&gt;=46,Table1[[#This Row],[Age]]&lt;=55),"46-55")</f>
        <v>46-55</v>
      </c>
      <c r="P491">
        <f>IF(Table1[[#This Row],[Employment_Status]]="active",1,0)</f>
        <v>1</v>
      </c>
      <c r="Q491">
        <v>1</v>
      </c>
      <c r="R491" s="6">
        <f ca="1">YEARFRAC(Table1[[#This Row],[Hire_Date]],IF(Table1[[#This Row],[Employment_Status]]="Exited",Table1[[#This Row],[Exit_Date]],TODAY()))</f>
        <v>2.1861111111111109</v>
      </c>
      <c r="S491" t="str" cm="1">
        <f t="array" aca="1" ref="S491" ca="1">_xlfn.IFS(AND(Table1[[#This Row],[Tenure]]&gt;=0,Table1[[#This Row],[Tenure]]&lt;=1),"0-1",AND(Table1[[#This Row],[Tenure]]&gt;1,Table1[[#This Row],[Tenure]]&lt;=3),"1-3",AND(Table1[[#This Row],[Tenure]]&gt;3,Table1[[#This Row],[Tenure]]&lt;=5),"3-5",AND(Table1[[#This Row],[Tenure]]&gt;5,Table1[[#This Row],[Tenure]]&lt;=8),"5-8")</f>
        <v>1-3</v>
      </c>
      <c r="T491" t="str" cm="1">
        <f t="array" ref="T491">_xlfn.IFS(AND(Table1[[#This Row],[Salary]]&gt;=180000, Table1[[#This Row],[Salary]] &lt;=500000),"Low (180k-500k)", AND(Table1[[#This Row],[Salary]]&gt;500000, Table1[[#This Row],[Salary]]&lt;=800000), "Medium (501k-800k)", AND(Table1[[#This Row],[Salary]]&gt;800000, Table1[[#This Row],[Salary]]&lt;1200000), "High (801k - 1.2m)")</f>
        <v>Low (180k-500k)</v>
      </c>
    </row>
    <row r="492" spans="1:20" x14ac:dyDescent="0.2">
      <c r="A492">
        <v>491</v>
      </c>
      <c r="B492" t="s">
        <v>19</v>
      </c>
      <c r="C492" t="s">
        <v>20</v>
      </c>
      <c r="D492">
        <v>47</v>
      </c>
      <c r="E492" t="s">
        <v>15</v>
      </c>
      <c r="F492" t="s">
        <v>22</v>
      </c>
      <c r="G492">
        <v>628742</v>
      </c>
      <c r="H492" t="s">
        <v>459</v>
      </c>
      <c r="J492" t="s">
        <v>18</v>
      </c>
      <c r="K492">
        <v>5</v>
      </c>
      <c r="L492">
        <v>33</v>
      </c>
      <c r="M492">
        <v>75</v>
      </c>
      <c r="N492">
        <f>IF(Table1[[#This Row],[Employment_Status]]="Exited",1,0)</f>
        <v>0</v>
      </c>
      <c r="O492" t="str" cm="1">
        <f t="array" ref="O492">_xlfn.IFS(AND(Table1[[#This Row],[Age]]&gt;=22,Table1[[#This Row],[Age]]&lt;=35),"22-35",AND(Table1[[#This Row],[Age]]&gt;=36,Table1[[#This Row],[Age]]&lt;=45),"36-45",AND(Table1[[#This Row],[Age]]&gt;=46,Table1[[#This Row],[Age]]&lt;=55),"46-55")</f>
        <v>46-55</v>
      </c>
      <c r="P492">
        <f>IF(Table1[[#This Row],[Employment_Status]]="active",1,0)</f>
        <v>1</v>
      </c>
      <c r="Q492">
        <v>1</v>
      </c>
      <c r="R492" s="6">
        <f ca="1">YEARFRAC(Table1[[#This Row],[Hire_Date]],IF(Table1[[#This Row],[Employment_Status]]="Exited",Table1[[#This Row],[Exit_Date]],TODAY()))</f>
        <v>2.5388888888888888</v>
      </c>
      <c r="S492" t="str" cm="1">
        <f t="array" aca="1" ref="S492" ca="1">_xlfn.IFS(AND(Table1[[#This Row],[Tenure]]&gt;=0,Table1[[#This Row],[Tenure]]&lt;=1),"0-1",AND(Table1[[#This Row],[Tenure]]&gt;1,Table1[[#This Row],[Tenure]]&lt;=3),"1-3",AND(Table1[[#This Row],[Tenure]]&gt;3,Table1[[#This Row],[Tenure]]&lt;=5),"3-5",AND(Table1[[#This Row],[Tenure]]&gt;5,Table1[[#This Row],[Tenure]]&lt;=8),"5-8")</f>
        <v>1-3</v>
      </c>
      <c r="T492" t="str" cm="1">
        <f t="array" ref="T492">_xlfn.IFS(AND(Table1[[#This Row],[Salary]]&gt;=180000, Table1[[#This Row],[Salary]] &lt;=500000),"Low (180k-500k)", AND(Table1[[#This Row],[Salary]]&gt;500000, Table1[[#This Row],[Salary]]&lt;=800000), "Medium (501k-800k)", AND(Table1[[#This Row],[Salary]]&gt;800000, Table1[[#This Row],[Salary]]&lt;1200000), "High (801k - 1.2m)")</f>
        <v>Medium (501k-800k)</v>
      </c>
    </row>
    <row r="493" spans="1:20" x14ac:dyDescent="0.2">
      <c r="A493">
        <v>492</v>
      </c>
      <c r="B493" t="s">
        <v>31</v>
      </c>
      <c r="C493" t="s">
        <v>20</v>
      </c>
      <c r="D493">
        <v>37</v>
      </c>
      <c r="E493" t="s">
        <v>45</v>
      </c>
      <c r="F493" t="s">
        <v>16</v>
      </c>
      <c r="G493">
        <v>517391</v>
      </c>
      <c r="H493" t="s">
        <v>535</v>
      </c>
      <c r="J493" t="s">
        <v>18</v>
      </c>
      <c r="K493">
        <v>4</v>
      </c>
      <c r="L493">
        <v>12</v>
      </c>
      <c r="M493">
        <v>97</v>
      </c>
      <c r="N493">
        <f>IF(Table1[[#This Row],[Employment_Status]]="Exited",1,0)</f>
        <v>0</v>
      </c>
      <c r="O493" t="str" cm="1">
        <f t="array" ref="O493">_xlfn.IFS(AND(Table1[[#This Row],[Age]]&gt;=22,Table1[[#This Row],[Age]]&lt;=35),"22-35",AND(Table1[[#This Row],[Age]]&gt;=36,Table1[[#This Row],[Age]]&lt;=45),"36-45",AND(Table1[[#This Row],[Age]]&gt;=46,Table1[[#This Row],[Age]]&lt;=55),"46-55")</f>
        <v>36-45</v>
      </c>
      <c r="P493">
        <f>IF(Table1[[#This Row],[Employment_Status]]="active",1,0)</f>
        <v>1</v>
      </c>
      <c r="Q493">
        <v>1</v>
      </c>
      <c r="R493" s="6">
        <f ca="1">YEARFRAC(Table1[[#This Row],[Hire_Date]],IF(Table1[[#This Row],[Employment_Status]]="Exited",Table1[[#This Row],[Exit_Date]],TODAY()))</f>
        <v>6.8555555555555552</v>
      </c>
      <c r="S493" t="str" cm="1">
        <f t="array" aca="1" ref="S493" ca="1">_xlfn.IFS(AND(Table1[[#This Row],[Tenure]]&gt;=0,Table1[[#This Row],[Tenure]]&lt;=1),"0-1",AND(Table1[[#This Row],[Tenure]]&gt;1,Table1[[#This Row],[Tenure]]&lt;=3),"1-3",AND(Table1[[#This Row],[Tenure]]&gt;3,Table1[[#This Row],[Tenure]]&lt;=5),"3-5",AND(Table1[[#This Row],[Tenure]]&gt;5,Table1[[#This Row],[Tenure]]&lt;=8),"5-8")</f>
        <v>5-8</v>
      </c>
      <c r="T493" t="str" cm="1">
        <f t="array" ref="T493">_xlfn.IFS(AND(Table1[[#This Row],[Salary]]&gt;=180000, Table1[[#This Row],[Salary]] &lt;=500000),"Low (180k-500k)", AND(Table1[[#This Row],[Salary]]&gt;500000, Table1[[#This Row],[Salary]]&lt;=800000), "Medium (501k-800k)", AND(Table1[[#This Row],[Salary]]&gt;800000, Table1[[#This Row],[Salary]]&lt;1200000), "High (801k - 1.2m)")</f>
        <v>Medium (501k-800k)</v>
      </c>
    </row>
    <row r="494" spans="1:20" x14ac:dyDescent="0.2">
      <c r="A494">
        <v>493</v>
      </c>
      <c r="B494" t="s">
        <v>26</v>
      </c>
      <c r="C494" t="s">
        <v>14</v>
      </c>
      <c r="D494">
        <v>46</v>
      </c>
      <c r="E494" t="s">
        <v>15</v>
      </c>
      <c r="F494" t="s">
        <v>34</v>
      </c>
      <c r="G494">
        <v>1096508</v>
      </c>
      <c r="H494" t="s">
        <v>536</v>
      </c>
      <c r="J494" t="s">
        <v>18</v>
      </c>
      <c r="K494">
        <v>5</v>
      </c>
      <c r="L494">
        <v>48</v>
      </c>
      <c r="M494">
        <v>88</v>
      </c>
      <c r="N494">
        <f>IF(Table1[[#This Row],[Employment_Status]]="Exited",1,0)</f>
        <v>0</v>
      </c>
      <c r="O494" t="str" cm="1">
        <f t="array" ref="O494">_xlfn.IFS(AND(Table1[[#This Row],[Age]]&gt;=22,Table1[[#This Row],[Age]]&lt;=35),"22-35",AND(Table1[[#This Row],[Age]]&gt;=36,Table1[[#This Row],[Age]]&lt;=45),"36-45",AND(Table1[[#This Row],[Age]]&gt;=46,Table1[[#This Row],[Age]]&lt;=55),"46-55")</f>
        <v>46-55</v>
      </c>
      <c r="P494">
        <f>IF(Table1[[#This Row],[Employment_Status]]="active",1,0)</f>
        <v>1</v>
      </c>
      <c r="Q494">
        <v>1</v>
      </c>
      <c r="R494" s="6">
        <f ca="1">YEARFRAC(Table1[[#This Row],[Hire_Date]],IF(Table1[[#This Row],[Employment_Status]]="Exited",Table1[[#This Row],[Exit_Date]],TODAY()))</f>
        <v>2.5166666666666666</v>
      </c>
      <c r="S494" t="str" cm="1">
        <f t="array" aca="1" ref="S494" ca="1">_xlfn.IFS(AND(Table1[[#This Row],[Tenure]]&gt;=0,Table1[[#This Row],[Tenure]]&lt;=1),"0-1",AND(Table1[[#This Row],[Tenure]]&gt;1,Table1[[#This Row],[Tenure]]&lt;=3),"1-3",AND(Table1[[#This Row],[Tenure]]&gt;3,Table1[[#This Row],[Tenure]]&lt;=5),"3-5",AND(Table1[[#This Row],[Tenure]]&gt;5,Table1[[#This Row],[Tenure]]&lt;=8),"5-8")</f>
        <v>1-3</v>
      </c>
      <c r="T494" t="str" cm="1">
        <f t="array" ref="T494">_xlfn.IFS(AND(Table1[[#This Row],[Salary]]&gt;=180000, Table1[[#This Row],[Salary]] &lt;=500000),"Low (180k-500k)", AND(Table1[[#This Row],[Salary]]&gt;500000, Table1[[#This Row],[Salary]]&lt;=800000), "Medium (501k-800k)", AND(Table1[[#This Row],[Salary]]&gt;800000, Table1[[#This Row],[Salary]]&lt;1200000), "High (801k - 1.2m)")</f>
        <v>High (801k - 1.2m)</v>
      </c>
    </row>
    <row r="495" spans="1:20" x14ac:dyDescent="0.2">
      <c r="A495">
        <v>494</v>
      </c>
      <c r="B495" t="s">
        <v>47</v>
      </c>
      <c r="C495" t="s">
        <v>14</v>
      </c>
      <c r="D495">
        <v>38</v>
      </c>
      <c r="E495" t="s">
        <v>15</v>
      </c>
      <c r="F495" t="s">
        <v>16</v>
      </c>
      <c r="G495">
        <v>1059599</v>
      </c>
      <c r="H495" t="s">
        <v>502</v>
      </c>
      <c r="J495" t="s">
        <v>18</v>
      </c>
      <c r="K495">
        <v>3</v>
      </c>
      <c r="L495">
        <v>45</v>
      </c>
      <c r="M495">
        <v>76</v>
      </c>
      <c r="N495">
        <f>IF(Table1[[#This Row],[Employment_Status]]="Exited",1,0)</f>
        <v>0</v>
      </c>
      <c r="O495" t="str" cm="1">
        <f t="array" ref="O495">_xlfn.IFS(AND(Table1[[#This Row],[Age]]&gt;=22,Table1[[#This Row],[Age]]&lt;=35),"22-35",AND(Table1[[#This Row],[Age]]&gt;=36,Table1[[#This Row],[Age]]&lt;=45),"36-45",AND(Table1[[#This Row],[Age]]&gt;=46,Table1[[#This Row],[Age]]&lt;=55),"46-55")</f>
        <v>36-45</v>
      </c>
      <c r="P495">
        <f>IF(Table1[[#This Row],[Employment_Status]]="active",1,0)</f>
        <v>1</v>
      </c>
      <c r="Q495">
        <v>1</v>
      </c>
      <c r="R495" s="6">
        <f ca="1">YEARFRAC(Table1[[#This Row],[Hire_Date]],IF(Table1[[#This Row],[Employment_Status]]="Exited",Table1[[#This Row],[Exit_Date]],TODAY()))</f>
        <v>6.5666666666666664</v>
      </c>
      <c r="S495" t="str" cm="1">
        <f t="array" aca="1" ref="S495" ca="1">_xlfn.IFS(AND(Table1[[#This Row],[Tenure]]&gt;=0,Table1[[#This Row],[Tenure]]&lt;=1),"0-1",AND(Table1[[#This Row],[Tenure]]&gt;1,Table1[[#This Row],[Tenure]]&lt;=3),"1-3",AND(Table1[[#This Row],[Tenure]]&gt;3,Table1[[#This Row],[Tenure]]&lt;=5),"3-5",AND(Table1[[#This Row],[Tenure]]&gt;5,Table1[[#This Row],[Tenure]]&lt;=8),"5-8")</f>
        <v>5-8</v>
      </c>
      <c r="T495" t="str" cm="1">
        <f t="array" ref="T495">_xlfn.IFS(AND(Table1[[#This Row],[Salary]]&gt;=180000, Table1[[#This Row],[Salary]] &lt;=500000),"Low (180k-500k)", AND(Table1[[#This Row],[Salary]]&gt;500000, Table1[[#This Row],[Salary]]&lt;=800000), "Medium (501k-800k)", AND(Table1[[#This Row],[Salary]]&gt;800000, Table1[[#This Row],[Salary]]&lt;1200000), "High (801k - 1.2m)")</f>
        <v>High (801k - 1.2m)</v>
      </c>
    </row>
    <row r="496" spans="1:20" x14ac:dyDescent="0.2">
      <c r="A496">
        <v>495</v>
      </c>
      <c r="B496" t="s">
        <v>47</v>
      </c>
      <c r="C496" t="s">
        <v>20</v>
      </c>
      <c r="D496">
        <v>51</v>
      </c>
      <c r="E496" t="s">
        <v>15</v>
      </c>
      <c r="F496" t="s">
        <v>27</v>
      </c>
      <c r="G496">
        <v>730968</v>
      </c>
      <c r="H496" t="s">
        <v>537</v>
      </c>
      <c r="J496" t="s">
        <v>18</v>
      </c>
      <c r="K496">
        <v>4</v>
      </c>
      <c r="L496">
        <v>42</v>
      </c>
      <c r="M496">
        <v>98</v>
      </c>
      <c r="N496">
        <f>IF(Table1[[#This Row],[Employment_Status]]="Exited",1,0)</f>
        <v>0</v>
      </c>
      <c r="O496" t="str" cm="1">
        <f t="array" ref="O496">_xlfn.IFS(AND(Table1[[#This Row],[Age]]&gt;=22,Table1[[#This Row],[Age]]&lt;=35),"22-35",AND(Table1[[#This Row],[Age]]&gt;=36,Table1[[#This Row],[Age]]&lt;=45),"36-45",AND(Table1[[#This Row],[Age]]&gt;=46,Table1[[#This Row],[Age]]&lt;=55),"46-55")</f>
        <v>46-55</v>
      </c>
      <c r="P496">
        <f>IF(Table1[[#This Row],[Employment_Status]]="active",1,0)</f>
        <v>1</v>
      </c>
      <c r="Q496">
        <v>1</v>
      </c>
      <c r="R496" s="6">
        <f ca="1">YEARFRAC(Table1[[#This Row],[Hire_Date]],IF(Table1[[#This Row],[Employment_Status]]="Exited",Table1[[#This Row],[Exit_Date]],TODAY()))</f>
        <v>5.6166666666666663</v>
      </c>
      <c r="S496" t="str" cm="1">
        <f t="array" aca="1" ref="S496" ca="1">_xlfn.IFS(AND(Table1[[#This Row],[Tenure]]&gt;=0,Table1[[#This Row],[Tenure]]&lt;=1),"0-1",AND(Table1[[#This Row],[Tenure]]&gt;1,Table1[[#This Row],[Tenure]]&lt;=3),"1-3",AND(Table1[[#This Row],[Tenure]]&gt;3,Table1[[#This Row],[Tenure]]&lt;=5),"3-5",AND(Table1[[#This Row],[Tenure]]&gt;5,Table1[[#This Row],[Tenure]]&lt;=8),"5-8")</f>
        <v>5-8</v>
      </c>
      <c r="T496" t="str" cm="1">
        <f t="array" ref="T496">_xlfn.IFS(AND(Table1[[#This Row],[Salary]]&gt;=180000, Table1[[#This Row],[Salary]] &lt;=500000),"Low (180k-500k)", AND(Table1[[#This Row],[Salary]]&gt;500000, Table1[[#This Row],[Salary]]&lt;=800000), "Medium (501k-800k)", AND(Table1[[#This Row],[Salary]]&gt;800000, Table1[[#This Row],[Salary]]&lt;1200000), "High (801k - 1.2m)")</f>
        <v>Medium (501k-800k)</v>
      </c>
    </row>
    <row r="497" spans="1:20" x14ac:dyDescent="0.2">
      <c r="A497">
        <v>496</v>
      </c>
      <c r="B497" t="s">
        <v>58</v>
      </c>
      <c r="C497" t="s">
        <v>20</v>
      </c>
      <c r="D497">
        <v>54</v>
      </c>
      <c r="E497" t="s">
        <v>61</v>
      </c>
      <c r="F497" t="s">
        <v>16</v>
      </c>
      <c r="G497">
        <v>313818</v>
      </c>
      <c r="H497" t="s">
        <v>538</v>
      </c>
      <c r="J497" t="s">
        <v>18</v>
      </c>
      <c r="K497">
        <v>4</v>
      </c>
      <c r="L497">
        <v>13</v>
      </c>
      <c r="M497">
        <v>69</v>
      </c>
      <c r="N497">
        <f>IF(Table1[[#This Row],[Employment_Status]]="Exited",1,0)</f>
        <v>0</v>
      </c>
      <c r="O497" t="str" cm="1">
        <f t="array" ref="O497">_xlfn.IFS(AND(Table1[[#This Row],[Age]]&gt;=22,Table1[[#This Row],[Age]]&lt;=35),"22-35",AND(Table1[[#This Row],[Age]]&gt;=36,Table1[[#This Row],[Age]]&lt;=45),"36-45",AND(Table1[[#This Row],[Age]]&gt;=46,Table1[[#This Row],[Age]]&lt;=55),"46-55")</f>
        <v>46-55</v>
      </c>
      <c r="P497">
        <f>IF(Table1[[#This Row],[Employment_Status]]="active",1,0)</f>
        <v>1</v>
      </c>
      <c r="Q497">
        <v>1</v>
      </c>
      <c r="R497" s="6">
        <f ca="1">YEARFRAC(Table1[[#This Row],[Hire_Date]],IF(Table1[[#This Row],[Employment_Status]]="Exited",Table1[[#This Row],[Exit_Date]],TODAY()))</f>
        <v>2.85</v>
      </c>
      <c r="S497" t="str" cm="1">
        <f t="array" aca="1" ref="S497" ca="1">_xlfn.IFS(AND(Table1[[#This Row],[Tenure]]&gt;=0,Table1[[#This Row],[Tenure]]&lt;=1),"0-1",AND(Table1[[#This Row],[Tenure]]&gt;1,Table1[[#This Row],[Tenure]]&lt;=3),"1-3",AND(Table1[[#This Row],[Tenure]]&gt;3,Table1[[#This Row],[Tenure]]&lt;=5),"3-5",AND(Table1[[#This Row],[Tenure]]&gt;5,Table1[[#This Row],[Tenure]]&lt;=8),"5-8")</f>
        <v>1-3</v>
      </c>
      <c r="T497" t="str" cm="1">
        <f t="array" ref="T497">_xlfn.IFS(AND(Table1[[#This Row],[Salary]]&gt;=180000, Table1[[#This Row],[Salary]] &lt;=500000),"Low (180k-500k)", AND(Table1[[#This Row],[Salary]]&gt;500000, Table1[[#This Row],[Salary]]&lt;=800000), "Medium (501k-800k)", AND(Table1[[#This Row],[Salary]]&gt;800000, Table1[[#This Row],[Salary]]&lt;1200000), "High (801k - 1.2m)")</f>
        <v>Low (180k-500k)</v>
      </c>
    </row>
    <row r="498" spans="1:20" x14ac:dyDescent="0.2">
      <c r="A498">
        <v>497</v>
      </c>
      <c r="B498" t="s">
        <v>31</v>
      </c>
      <c r="C498" t="s">
        <v>20</v>
      </c>
      <c r="D498">
        <v>41</v>
      </c>
      <c r="E498" t="s">
        <v>21</v>
      </c>
      <c r="F498" t="s">
        <v>34</v>
      </c>
      <c r="G498">
        <v>567230</v>
      </c>
      <c r="H498" t="s">
        <v>539</v>
      </c>
      <c r="I498" t="s">
        <v>540</v>
      </c>
      <c r="J498" t="s">
        <v>55</v>
      </c>
      <c r="K498">
        <v>4</v>
      </c>
      <c r="L498">
        <v>46</v>
      </c>
      <c r="M498">
        <v>91</v>
      </c>
      <c r="N498">
        <f>IF(Table1[[#This Row],[Employment_Status]]="Exited",1,0)</f>
        <v>1</v>
      </c>
      <c r="O498" t="str" cm="1">
        <f t="array" ref="O498">_xlfn.IFS(AND(Table1[[#This Row],[Age]]&gt;=22,Table1[[#This Row],[Age]]&lt;=35),"22-35",AND(Table1[[#This Row],[Age]]&gt;=36,Table1[[#This Row],[Age]]&lt;=45),"36-45",AND(Table1[[#This Row],[Age]]&gt;=46,Table1[[#This Row],[Age]]&lt;=55),"46-55")</f>
        <v>36-45</v>
      </c>
      <c r="P498">
        <f>IF(Table1[[#This Row],[Employment_Status]]="active",1,0)</f>
        <v>0</v>
      </c>
      <c r="Q498">
        <v>1</v>
      </c>
      <c r="R498" s="6">
        <f ca="1">YEARFRAC(Table1[[#This Row],[Hire_Date]],IF(Table1[[#This Row],[Employment_Status]]="Exited",Table1[[#This Row],[Exit_Date]],TODAY()))</f>
        <v>1.336111111111111</v>
      </c>
      <c r="S498" t="str" cm="1">
        <f t="array" aca="1" ref="S498" ca="1">_xlfn.IFS(AND(Table1[[#This Row],[Tenure]]&gt;=0,Table1[[#This Row],[Tenure]]&lt;=1),"0-1",AND(Table1[[#This Row],[Tenure]]&gt;1,Table1[[#This Row],[Tenure]]&lt;=3),"1-3",AND(Table1[[#This Row],[Tenure]]&gt;3,Table1[[#This Row],[Tenure]]&lt;=5),"3-5",AND(Table1[[#This Row],[Tenure]]&gt;5,Table1[[#This Row],[Tenure]]&lt;=8),"5-8")</f>
        <v>1-3</v>
      </c>
      <c r="T498" t="str" cm="1">
        <f t="array" ref="T498">_xlfn.IFS(AND(Table1[[#This Row],[Salary]]&gt;=180000, Table1[[#This Row],[Salary]] &lt;=500000),"Low (180k-500k)", AND(Table1[[#This Row],[Salary]]&gt;500000, Table1[[#This Row],[Salary]]&lt;=800000), "Medium (501k-800k)", AND(Table1[[#This Row],[Salary]]&gt;800000, Table1[[#This Row],[Salary]]&lt;1200000), "High (801k - 1.2m)")</f>
        <v>Medium (501k-800k)</v>
      </c>
    </row>
    <row r="499" spans="1:20" x14ac:dyDescent="0.2">
      <c r="A499">
        <v>498</v>
      </c>
      <c r="B499" t="s">
        <v>29</v>
      </c>
      <c r="C499" t="s">
        <v>14</v>
      </c>
      <c r="D499">
        <v>24</v>
      </c>
      <c r="E499" t="s">
        <v>21</v>
      </c>
      <c r="F499" t="s">
        <v>34</v>
      </c>
      <c r="G499">
        <v>572498</v>
      </c>
      <c r="H499" t="s">
        <v>331</v>
      </c>
      <c r="J499" t="s">
        <v>18</v>
      </c>
      <c r="K499">
        <v>2</v>
      </c>
      <c r="L499">
        <v>23</v>
      </c>
      <c r="M499">
        <v>78</v>
      </c>
      <c r="N499">
        <f>IF(Table1[[#This Row],[Employment_Status]]="Exited",1,0)</f>
        <v>0</v>
      </c>
      <c r="O499" t="str" cm="1">
        <f t="array" ref="O499">_xlfn.IFS(AND(Table1[[#This Row],[Age]]&gt;=22,Table1[[#This Row],[Age]]&lt;=35),"22-35",AND(Table1[[#This Row],[Age]]&gt;=36,Table1[[#This Row],[Age]]&lt;=45),"36-45",AND(Table1[[#This Row],[Age]]&gt;=46,Table1[[#This Row],[Age]]&lt;=55),"46-55")</f>
        <v>22-35</v>
      </c>
      <c r="P499">
        <f>IF(Table1[[#This Row],[Employment_Status]]="active",1,0)</f>
        <v>1</v>
      </c>
      <c r="Q499">
        <v>1</v>
      </c>
      <c r="R499" s="6">
        <f ca="1">YEARFRAC(Table1[[#This Row],[Hire_Date]],IF(Table1[[#This Row],[Employment_Status]]="Exited",Table1[[#This Row],[Exit_Date]],TODAY()))</f>
        <v>5.072222222222222</v>
      </c>
      <c r="S499" t="str" cm="1">
        <f t="array" aca="1" ref="S499" ca="1">_xlfn.IFS(AND(Table1[[#This Row],[Tenure]]&gt;=0,Table1[[#This Row],[Tenure]]&lt;=1),"0-1",AND(Table1[[#This Row],[Tenure]]&gt;1,Table1[[#This Row],[Tenure]]&lt;=3),"1-3",AND(Table1[[#This Row],[Tenure]]&gt;3,Table1[[#This Row],[Tenure]]&lt;=5),"3-5",AND(Table1[[#This Row],[Tenure]]&gt;5,Table1[[#This Row],[Tenure]]&lt;=8),"5-8")</f>
        <v>5-8</v>
      </c>
      <c r="T499" t="str" cm="1">
        <f t="array" ref="T499">_xlfn.IFS(AND(Table1[[#This Row],[Salary]]&gt;=180000, Table1[[#This Row],[Salary]] &lt;=500000),"Low (180k-500k)", AND(Table1[[#This Row],[Salary]]&gt;500000, Table1[[#This Row],[Salary]]&lt;=800000), "Medium (501k-800k)", AND(Table1[[#This Row],[Salary]]&gt;800000, Table1[[#This Row],[Salary]]&lt;1200000), "High (801k - 1.2m)")</f>
        <v>Medium (501k-800k)</v>
      </c>
    </row>
    <row r="500" spans="1:20" x14ac:dyDescent="0.2">
      <c r="A500">
        <v>499</v>
      </c>
      <c r="B500" t="s">
        <v>31</v>
      </c>
      <c r="C500" t="s">
        <v>14</v>
      </c>
      <c r="D500">
        <v>34</v>
      </c>
      <c r="E500" t="s">
        <v>49</v>
      </c>
      <c r="F500" t="s">
        <v>16</v>
      </c>
      <c r="G500">
        <v>369781</v>
      </c>
      <c r="H500" t="s">
        <v>541</v>
      </c>
      <c r="J500" t="s">
        <v>18</v>
      </c>
      <c r="K500">
        <v>3</v>
      </c>
      <c r="L500">
        <v>5</v>
      </c>
      <c r="M500">
        <v>79</v>
      </c>
      <c r="N500">
        <f>IF(Table1[[#This Row],[Employment_Status]]="Exited",1,0)</f>
        <v>0</v>
      </c>
      <c r="O500" t="str" cm="1">
        <f t="array" ref="O500">_xlfn.IFS(AND(Table1[[#This Row],[Age]]&gt;=22,Table1[[#This Row],[Age]]&lt;=35),"22-35",AND(Table1[[#This Row],[Age]]&gt;=36,Table1[[#This Row],[Age]]&lt;=45),"36-45",AND(Table1[[#This Row],[Age]]&gt;=46,Table1[[#This Row],[Age]]&lt;=55),"46-55")</f>
        <v>22-35</v>
      </c>
      <c r="P500">
        <f>IF(Table1[[#This Row],[Employment_Status]]="active",1,0)</f>
        <v>1</v>
      </c>
      <c r="Q500">
        <v>1</v>
      </c>
      <c r="R500" s="6">
        <f ca="1">YEARFRAC(Table1[[#This Row],[Hire_Date]],IF(Table1[[#This Row],[Employment_Status]]="Exited",Table1[[#This Row],[Exit_Date]],TODAY()))</f>
        <v>5.5944444444444441</v>
      </c>
      <c r="S500" t="str" cm="1">
        <f t="array" aca="1" ref="S500" ca="1">_xlfn.IFS(AND(Table1[[#This Row],[Tenure]]&gt;=0,Table1[[#This Row],[Tenure]]&lt;=1),"0-1",AND(Table1[[#This Row],[Tenure]]&gt;1,Table1[[#This Row],[Tenure]]&lt;=3),"1-3",AND(Table1[[#This Row],[Tenure]]&gt;3,Table1[[#This Row],[Tenure]]&lt;=5),"3-5",AND(Table1[[#This Row],[Tenure]]&gt;5,Table1[[#This Row],[Tenure]]&lt;=8),"5-8")</f>
        <v>5-8</v>
      </c>
      <c r="T500" t="str" cm="1">
        <f t="array" ref="T500">_xlfn.IFS(AND(Table1[[#This Row],[Salary]]&gt;=180000, Table1[[#This Row],[Salary]] &lt;=500000),"Low (180k-500k)", AND(Table1[[#This Row],[Salary]]&gt;500000, Table1[[#This Row],[Salary]]&lt;=800000), "Medium (501k-800k)", AND(Table1[[#This Row],[Salary]]&gt;800000, Table1[[#This Row],[Salary]]&lt;1200000), "High (801k - 1.2m)")</f>
        <v>Low (180k-500k)</v>
      </c>
    </row>
    <row r="501" spans="1:20" x14ac:dyDescent="0.2">
      <c r="A501">
        <v>500</v>
      </c>
      <c r="B501" t="s">
        <v>13</v>
      </c>
      <c r="C501" t="s">
        <v>14</v>
      </c>
      <c r="D501">
        <v>28</v>
      </c>
      <c r="E501" t="s">
        <v>15</v>
      </c>
      <c r="F501" t="s">
        <v>22</v>
      </c>
      <c r="G501">
        <v>410436</v>
      </c>
      <c r="H501" t="s">
        <v>414</v>
      </c>
      <c r="J501" t="s">
        <v>18</v>
      </c>
      <c r="K501">
        <v>1</v>
      </c>
      <c r="L501">
        <v>30</v>
      </c>
      <c r="M501">
        <v>68</v>
      </c>
      <c r="N501">
        <f>IF(Table1[[#This Row],[Employment_Status]]="Exited",1,0)</f>
        <v>0</v>
      </c>
      <c r="O501" t="str" cm="1">
        <f t="array" ref="O501">_xlfn.IFS(AND(Table1[[#This Row],[Age]]&gt;=22,Table1[[#This Row],[Age]]&lt;=35),"22-35",AND(Table1[[#This Row],[Age]]&gt;=36,Table1[[#This Row],[Age]]&lt;=45),"36-45",AND(Table1[[#This Row],[Age]]&gt;=46,Table1[[#This Row],[Age]]&lt;=55),"46-55")</f>
        <v>22-35</v>
      </c>
      <c r="P501">
        <f>IF(Table1[[#This Row],[Employment_Status]]="active",1,0)</f>
        <v>1</v>
      </c>
      <c r="Q501">
        <v>1</v>
      </c>
      <c r="R501" s="6">
        <f ca="1">YEARFRAC(Table1[[#This Row],[Hire_Date]],IF(Table1[[#This Row],[Employment_Status]]="Exited",Table1[[#This Row],[Exit_Date]],TODAY()))</f>
        <v>3.3638888888888889</v>
      </c>
      <c r="S501" t="str" cm="1">
        <f t="array" aca="1" ref="S501" ca="1">_xlfn.IFS(AND(Table1[[#This Row],[Tenure]]&gt;=0,Table1[[#This Row],[Tenure]]&lt;=1),"0-1",AND(Table1[[#This Row],[Tenure]]&gt;1,Table1[[#This Row],[Tenure]]&lt;=3),"1-3",AND(Table1[[#This Row],[Tenure]]&gt;3,Table1[[#This Row],[Tenure]]&lt;=5),"3-5",AND(Table1[[#This Row],[Tenure]]&gt;5,Table1[[#This Row],[Tenure]]&lt;=8),"5-8")</f>
        <v>3-5</v>
      </c>
      <c r="T501" t="str" cm="1">
        <f t="array" ref="T501">_xlfn.IFS(AND(Table1[[#This Row],[Salary]]&gt;=180000, Table1[[#This Row],[Salary]] &lt;=500000),"Low (180k-500k)", AND(Table1[[#This Row],[Salary]]&gt;500000, Table1[[#This Row],[Salary]]&lt;=800000), "Medium (501k-800k)", AND(Table1[[#This Row],[Salary]]&gt;800000, Table1[[#This Row],[Salary]]&lt;1200000), "High (801k - 1.2m)")</f>
        <v>Low (180k-500k)</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8"/>
  <sheetViews>
    <sheetView workbookViewId="0">
      <selection activeCell="C7" sqref="C7"/>
    </sheetView>
  </sheetViews>
  <sheetFormatPr baseColWidth="10" defaultColWidth="8.83203125" defaultRowHeight="15" x14ac:dyDescent="0.2"/>
  <cols>
    <col min="1" max="1" width="13.1640625" bestFit="1" customWidth="1"/>
    <col min="2" max="2" width="21" bestFit="1" customWidth="1"/>
    <col min="3" max="3" width="18" bestFit="1" customWidth="1"/>
    <col min="4" max="4" width="19.33203125" bestFit="1" customWidth="1"/>
    <col min="5" max="5" width="20" bestFit="1" customWidth="1"/>
    <col min="6" max="6" width="11" bestFit="1" customWidth="1"/>
    <col min="7" max="7" width="13.1640625" bestFit="1" customWidth="1"/>
    <col min="8" max="8" width="24.33203125" bestFit="1" customWidth="1"/>
    <col min="9" max="9" width="29.6640625" bestFit="1" customWidth="1"/>
  </cols>
  <sheetData>
    <row r="1" spans="1:9" x14ac:dyDescent="0.2">
      <c r="A1" s="1" t="s">
        <v>544</v>
      </c>
      <c r="C1" s="1" t="s">
        <v>545</v>
      </c>
      <c r="E1" s="1" t="s">
        <v>548</v>
      </c>
      <c r="G1" s="1" t="s">
        <v>550</v>
      </c>
      <c r="I1" s="1" t="s">
        <v>570</v>
      </c>
    </row>
    <row r="2" spans="1:9" x14ac:dyDescent="0.2">
      <c r="A2" t="s">
        <v>553</v>
      </c>
      <c r="C2" t="s">
        <v>547</v>
      </c>
      <c r="E2" t="s">
        <v>549</v>
      </c>
      <c r="G2" t="s">
        <v>551</v>
      </c>
      <c r="I2" t="s">
        <v>571</v>
      </c>
    </row>
    <row r="3" spans="1:9" x14ac:dyDescent="0.2">
      <c r="A3">
        <v>500</v>
      </c>
      <c r="C3">
        <v>418</v>
      </c>
      <c r="E3" s="2">
        <v>38.57</v>
      </c>
      <c r="G3" s="2">
        <v>82</v>
      </c>
      <c r="I3" s="2">
        <v>4.2330444444444435</v>
      </c>
    </row>
    <row r="5" spans="1:9" x14ac:dyDescent="0.2">
      <c r="A5" s="1" t="s">
        <v>552</v>
      </c>
      <c r="C5" s="1" t="s">
        <v>555</v>
      </c>
      <c r="E5" s="1" t="s">
        <v>557</v>
      </c>
      <c r="G5" s="1" t="s">
        <v>560</v>
      </c>
      <c r="I5" t="s">
        <v>572</v>
      </c>
    </row>
    <row r="6" spans="1:9" x14ac:dyDescent="0.2">
      <c r="A6" t="s">
        <v>552</v>
      </c>
      <c r="C6" t="s">
        <v>556</v>
      </c>
      <c r="E6" t="s">
        <v>558</v>
      </c>
      <c r="G6" t="s">
        <v>559</v>
      </c>
      <c r="I6" t="s">
        <v>573</v>
      </c>
    </row>
    <row r="7" spans="1:9" x14ac:dyDescent="0.2">
      <c r="A7" s="10">
        <v>0.16400000000000001</v>
      </c>
      <c r="C7" s="4">
        <v>3.214</v>
      </c>
      <c r="E7" s="4">
        <v>82.6</v>
      </c>
      <c r="G7" s="2">
        <v>25.806000000000001</v>
      </c>
      <c r="I7" s="2">
        <v>2.0033536585365854</v>
      </c>
    </row>
    <row r="9" spans="1:9" x14ac:dyDescent="0.2">
      <c r="A9" t="s">
        <v>561</v>
      </c>
      <c r="D9" s="1" t="s">
        <v>575</v>
      </c>
      <c r="G9" s="1" t="s">
        <v>586</v>
      </c>
    </row>
    <row r="10" spans="1:9" x14ac:dyDescent="0.2">
      <c r="A10" s="5" t="s">
        <v>562</v>
      </c>
      <c r="B10" t="s">
        <v>553</v>
      </c>
      <c r="D10" s="5" t="s">
        <v>562</v>
      </c>
      <c r="E10" t="s">
        <v>551</v>
      </c>
      <c r="G10" s="5" t="s">
        <v>562</v>
      </c>
      <c r="H10" t="s">
        <v>556</v>
      </c>
    </row>
    <row r="11" spans="1:9" x14ac:dyDescent="0.2">
      <c r="A11" s="7" t="s">
        <v>15</v>
      </c>
      <c r="B11" s="2">
        <v>229</v>
      </c>
      <c r="D11" s="7" t="s">
        <v>576</v>
      </c>
      <c r="E11" s="2">
        <v>9</v>
      </c>
      <c r="G11" s="7" t="s">
        <v>45</v>
      </c>
      <c r="H11" s="4">
        <v>3.0727272727272728</v>
      </c>
    </row>
    <row r="12" spans="1:9" x14ac:dyDescent="0.2">
      <c r="A12" s="7" t="s">
        <v>21</v>
      </c>
      <c r="B12" s="2">
        <v>124</v>
      </c>
      <c r="D12" s="7" t="s">
        <v>577</v>
      </c>
      <c r="E12" s="2">
        <v>65</v>
      </c>
      <c r="G12" s="7" t="s">
        <v>61</v>
      </c>
      <c r="H12" s="4">
        <v>3.1666666666666665</v>
      </c>
    </row>
    <row r="13" spans="1:9" x14ac:dyDescent="0.2">
      <c r="A13" s="7" t="s">
        <v>45</v>
      </c>
      <c r="B13" s="2">
        <v>55</v>
      </c>
      <c r="D13" s="7" t="s">
        <v>578</v>
      </c>
      <c r="E13" s="2">
        <v>8</v>
      </c>
      <c r="G13" s="7" t="s">
        <v>49</v>
      </c>
      <c r="H13" s="4">
        <v>3.3636363636363638</v>
      </c>
    </row>
    <row r="14" spans="1:9" x14ac:dyDescent="0.2">
      <c r="A14" s="7" t="s">
        <v>61</v>
      </c>
      <c r="B14" s="2">
        <v>48</v>
      </c>
      <c r="D14" s="7" t="s">
        <v>579</v>
      </c>
      <c r="E14" s="2">
        <v>0</v>
      </c>
      <c r="G14" s="7" t="s">
        <v>21</v>
      </c>
      <c r="H14" s="4">
        <v>3.2419354838709675</v>
      </c>
    </row>
    <row r="15" spans="1:9" x14ac:dyDescent="0.2">
      <c r="A15" s="7" t="s">
        <v>49</v>
      </c>
      <c r="B15" s="2">
        <v>44</v>
      </c>
      <c r="D15" s="7" t="s">
        <v>563</v>
      </c>
      <c r="E15" s="2">
        <v>82</v>
      </c>
      <c r="G15" s="7" t="s">
        <v>15</v>
      </c>
      <c r="H15" s="4">
        <v>3.2139737991266375</v>
      </c>
    </row>
    <row r="16" spans="1:9" x14ac:dyDescent="0.2">
      <c r="A16" s="7" t="s">
        <v>563</v>
      </c>
      <c r="B16" s="2">
        <v>500</v>
      </c>
      <c r="G16" s="7" t="s">
        <v>563</v>
      </c>
      <c r="H16" s="4">
        <v>3.214</v>
      </c>
    </row>
    <row r="17" spans="1:9" x14ac:dyDescent="0.2">
      <c r="D17" s="8" t="s">
        <v>580</v>
      </c>
    </row>
    <row r="18" spans="1:9" x14ac:dyDescent="0.2">
      <c r="A18" s="1" t="s">
        <v>567</v>
      </c>
      <c r="D18" s="5" t="s">
        <v>562</v>
      </c>
      <c r="E18" t="s">
        <v>551</v>
      </c>
      <c r="G18" s="8" t="s">
        <v>587</v>
      </c>
    </row>
    <row r="19" spans="1:9" x14ac:dyDescent="0.2">
      <c r="A19" s="5" t="s">
        <v>562</v>
      </c>
      <c r="B19" t="s">
        <v>553</v>
      </c>
      <c r="D19" s="7" t="s">
        <v>21</v>
      </c>
      <c r="E19" s="2">
        <v>39</v>
      </c>
      <c r="G19" s="5" t="s">
        <v>562</v>
      </c>
      <c r="H19" t="s">
        <v>559</v>
      </c>
      <c r="I19" t="s">
        <v>556</v>
      </c>
    </row>
    <row r="20" spans="1:9" x14ac:dyDescent="0.2">
      <c r="A20" s="7" t="s">
        <v>20</v>
      </c>
      <c r="B20" s="2">
        <v>231</v>
      </c>
      <c r="D20" s="7" t="s">
        <v>15</v>
      </c>
      <c r="E20" s="2">
        <v>28</v>
      </c>
      <c r="G20" s="7" t="s">
        <v>45</v>
      </c>
      <c r="H20" s="6">
        <v>24.163636363636364</v>
      </c>
      <c r="I20" s="6">
        <v>3.0727272727272728</v>
      </c>
    </row>
    <row r="21" spans="1:9" x14ac:dyDescent="0.2">
      <c r="A21" s="7" t="s">
        <v>14</v>
      </c>
      <c r="B21" s="2">
        <v>269</v>
      </c>
      <c r="D21" s="7" t="s">
        <v>45</v>
      </c>
      <c r="E21" s="2">
        <v>6</v>
      </c>
      <c r="G21" s="7" t="s">
        <v>61</v>
      </c>
      <c r="H21" s="6">
        <v>24.208333333333332</v>
      </c>
      <c r="I21" s="6">
        <v>3.1666666666666665</v>
      </c>
    </row>
    <row r="22" spans="1:9" x14ac:dyDescent="0.2">
      <c r="A22" s="7" t="s">
        <v>563</v>
      </c>
      <c r="B22" s="2">
        <v>500</v>
      </c>
      <c r="D22" s="7" t="s">
        <v>61</v>
      </c>
      <c r="E22" s="2">
        <v>5</v>
      </c>
      <c r="G22" s="7" t="s">
        <v>49</v>
      </c>
      <c r="H22" s="6">
        <v>28.09090909090909</v>
      </c>
      <c r="I22" s="6">
        <v>3.3636363636363638</v>
      </c>
    </row>
    <row r="23" spans="1:9" x14ac:dyDescent="0.2">
      <c r="D23" s="7" t="s">
        <v>49</v>
      </c>
      <c r="E23" s="2">
        <v>4</v>
      </c>
      <c r="G23" s="7" t="s">
        <v>21</v>
      </c>
      <c r="H23" s="6">
        <v>25.951612903225808</v>
      </c>
      <c r="I23" s="6">
        <v>3.2419354838709675</v>
      </c>
    </row>
    <row r="24" spans="1:9" x14ac:dyDescent="0.2">
      <c r="A24" s="8" t="s">
        <v>568</v>
      </c>
      <c r="D24" s="7" t="s">
        <v>563</v>
      </c>
      <c r="E24" s="2">
        <v>82</v>
      </c>
      <c r="G24" s="7" t="s">
        <v>15</v>
      </c>
      <c r="H24" s="6">
        <v>26.017467248908297</v>
      </c>
      <c r="I24" s="6">
        <v>3.2139737991266375</v>
      </c>
    </row>
    <row r="25" spans="1:9" x14ac:dyDescent="0.2">
      <c r="A25" s="5" t="s">
        <v>562</v>
      </c>
      <c r="B25" t="s">
        <v>553</v>
      </c>
      <c r="G25" s="7" t="s">
        <v>563</v>
      </c>
      <c r="H25" s="4">
        <v>25.806000000000001</v>
      </c>
      <c r="I25" s="4">
        <v>3.214</v>
      </c>
    </row>
    <row r="26" spans="1:9" x14ac:dyDescent="0.2">
      <c r="A26" s="7" t="s">
        <v>564</v>
      </c>
      <c r="B26" s="2">
        <v>207</v>
      </c>
      <c r="D26" s="7" t="s">
        <v>585</v>
      </c>
    </row>
    <row r="27" spans="1:9" x14ac:dyDescent="0.2">
      <c r="A27" s="7" t="s">
        <v>566</v>
      </c>
      <c r="B27" s="2">
        <v>139</v>
      </c>
      <c r="D27" s="5" t="s">
        <v>562</v>
      </c>
      <c r="E27" t="s">
        <v>551</v>
      </c>
      <c r="G27" s="3" t="s">
        <v>559</v>
      </c>
      <c r="H27" s="3" t="s">
        <v>556</v>
      </c>
    </row>
    <row r="28" spans="1:9" x14ac:dyDescent="0.2">
      <c r="A28" s="7" t="s">
        <v>565</v>
      </c>
      <c r="B28" s="2">
        <v>154</v>
      </c>
      <c r="D28" s="7" t="s">
        <v>583</v>
      </c>
      <c r="E28" s="2">
        <v>35</v>
      </c>
      <c r="G28" s="6">
        <v>24.163636363636364</v>
      </c>
      <c r="H28" s="6">
        <v>3.0727272727272728</v>
      </c>
    </row>
    <row r="29" spans="1:9" x14ac:dyDescent="0.2">
      <c r="A29" s="7" t="s">
        <v>563</v>
      </c>
      <c r="B29" s="2">
        <v>500</v>
      </c>
      <c r="D29" s="7" t="s">
        <v>584</v>
      </c>
      <c r="E29" s="2">
        <v>31</v>
      </c>
      <c r="G29" s="6">
        <v>24.208333333333332</v>
      </c>
      <c r="H29" s="6">
        <v>3.1666666666666665</v>
      </c>
    </row>
    <row r="30" spans="1:9" x14ac:dyDescent="0.2">
      <c r="D30" s="7" t="s">
        <v>582</v>
      </c>
      <c r="E30" s="2">
        <v>16</v>
      </c>
      <c r="G30" s="6">
        <v>28.09090909090909</v>
      </c>
      <c r="H30" s="6">
        <v>3.3636363636363638</v>
      </c>
    </row>
    <row r="31" spans="1:9" x14ac:dyDescent="0.2">
      <c r="D31" s="7" t="s">
        <v>563</v>
      </c>
      <c r="E31" s="2">
        <v>82</v>
      </c>
      <c r="G31" s="6">
        <v>25.951612903225808</v>
      </c>
      <c r="H31" s="6">
        <v>3.2419354838709675</v>
      </c>
    </row>
    <row r="32" spans="1:9" x14ac:dyDescent="0.2">
      <c r="G32" s="6">
        <v>26.017467248908297</v>
      </c>
      <c r="H32" s="6">
        <v>3.2139737991266375</v>
      </c>
    </row>
    <row r="34" spans="7:9" x14ac:dyDescent="0.2">
      <c r="G34" s="1" t="s">
        <v>588</v>
      </c>
    </row>
    <row r="35" spans="7:9" x14ac:dyDescent="0.2">
      <c r="G35" s="5" t="s">
        <v>562</v>
      </c>
      <c r="H35" t="s">
        <v>558</v>
      </c>
      <c r="I35" t="s">
        <v>556</v>
      </c>
    </row>
    <row r="36" spans="7:9" x14ac:dyDescent="0.2">
      <c r="G36" s="7" t="s">
        <v>45</v>
      </c>
      <c r="H36" s="6">
        <v>81.509090909090915</v>
      </c>
      <c r="I36" s="6">
        <v>3.0727272727272728</v>
      </c>
    </row>
    <row r="37" spans="7:9" x14ac:dyDescent="0.2">
      <c r="G37" s="7" t="s">
        <v>61</v>
      </c>
      <c r="H37" s="6">
        <v>84.291666666666671</v>
      </c>
      <c r="I37" s="6">
        <v>3.1666666666666665</v>
      </c>
    </row>
    <row r="38" spans="7:9" x14ac:dyDescent="0.2">
      <c r="G38" s="7" t="s">
        <v>49</v>
      </c>
      <c r="H38" s="6">
        <v>83.909090909090907</v>
      </c>
      <c r="I38" s="6">
        <v>3.3636363636363638</v>
      </c>
    </row>
    <row r="39" spans="7:9" x14ac:dyDescent="0.2">
      <c r="G39" s="7" t="s">
        <v>21</v>
      </c>
      <c r="H39" s="6">
        <v>81.491935483870961</v>
      </c>
      <c r="I39" s="6">
        <v>3.2419354838709675</v>
      </c>
    </row>
    <row r="40" spans="7:9" x14ac:dyDescent="0.2">
      <c r="G40" s="7" t="s">
        <v>15</v>
      </c>
      <c r="H40" s="6">
        <v>82.855895196506552</v>
      </c>
      <c r="I40" s="6">
        <v>3.2139737991266375</v>
      </c>
    </row>
    <row r="41" spans="7:9" x14ac:dyDescent="0.2">
      <c r="G41" s="7" t="s">
        <v>563</v>
      </c>
      <c r="H41" s="4">
        <v>82.6</v>
      </c>
      <c r="I41" s="4">
        <v>3.214</v>
      </c>
    </row>
    <row r="43" spans="7:9" x14ac:dyDescent="0.2">
      <c r="G43" s="3" t="s">
        <v>558</v>
      </c>
      <c r="H43" s="3" t="s">
        <v>556</v>
      </c>
    </row>
    <row r="44" spans="7:9" x14ac:dyDescent="0.2">
      <c r="G44" s="6">
        <v>81.509090909090915</v>
      </c>
      <c r="H44" s="6">
        <v>3.0727272727272728</v>
      </c>
    </row>
    <row r="45" spans="7:9" x14ac:dyDescent="0.2">
      <c r="G45" s="6">
        <v>84.291666666666671</v>
      </c>
      <c r="H45" s="6">
        <v>3.1666666666666665</v>
      </c>
    </row>
    <row r="46" spans="7:9" x14ac:dyDescent="0.2">
      <c r="G46" s="6">
        <v>83.909090909090907</v>
      </c>
      <c r="H46" s="6">
        <v>3.3636363636363638</v>
      </c>
    </row>
    <row r="47" spans="7:9" x14ac:dyDescent="0.2">
      <c r="G47" s="6">
        <v>81.491935483870961</v>
      </c>
      <c r="H47" s="6">
        <v>3.2419354838709675</v>
      </c>
    </row>
    <row r="48" spans="7:9" x14ac:dyDescent="0.2">
      <c r="G48" s="6">
        <v>82.855895196506552</v>
      </c>
      <c r="H48" s="6">
        <v>3.2139737991266375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zoomScale="50" zoomScaleNormal="100" workbookViewId="0">
      <selection activeCell="AE37" sqref="AE37"/>
    </sheetView>
  </sheetViews>
  <sheetFormatPr baseColWidth="10" defaultColWidth="8.83203125" defaultRowHeight="15" x14ac:dyDescent="0.2"/>
  <cols>
    <col min="1" max="16384" width="8.83203125" style="9"/>
  </cols>
  <sheetData/>
  <pageMargins left="0.75" right="0.75" top="1" bottom="1" header="0.5" footer="0.5"/>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topLeftCell="A17" zoomScale="66" workbookViewId="0"/>
  </sheetViews>
  <sheetFormatPr baseColWidth="10" defaultColWidth="8.83203125" defaultRowHeight="15" x14ac:dyDescent="0.2"/>
  <cols>
    <col min="1" max="16384" width="8.83203125" style="9"/>
  </cols>
  <sheetData/>
  <pageMargins left="0.75" right="0.75" top="1" bottom="1" header="0.5" footer="0.5"/>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tabSelected="1" zoomScale="57" workbookViewId="0">
      <selection activeCell="AK12" sqref="AK12"/>
    </sheetView>
  </sheetViews>
  <sheetFormatPr baseColWidth="10" defaultColWidth="8.83203125" defaultRowHeight="15" x14ac:dyDescent="0.2"/>
  <cols>
    <col min="1" max="16384" width="8.83203125" style="9"/>
  </cols>
  <sheetData/>
  <pageMargins left="0.75" right="0.75" top="1" bottom="1" header="0.5" footer="0.5"/>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8E34FE66-96B7-4F2D-975A-C73F88F3BA78}">
  <ds:schemaRefs/>
</ds:datastoreItem>
</file>

<file path=customXml/itemProps2.xml><?xml version="1.0" encoding="utf-8"?>
<ds:datastoreItem xmlns:ds="http://schemas.openxmlformats.org/officeDocument/2006/customXml" ds:itemID="{A479D20C-5E72-4576-A5BC-293C4E5E8BB2}">
  <ds:schemaRefs/>
</ds:datastoreItem>
</file>

<file path=customXml/itemProps3.xml><?xml version="1.0" encoding="utf-8"?>
<ds:datastoreItem xmlns:ds="http://schemas.openxmlformats.org/officeDocument/2006/customXml" ds:itemID="{F4901203-C331-4092-8290-D89A0190E06F}">
  <ds:schemaRefs/>
</ds:datastoreItem>
</file>

<file path=customXml/itemProps4.xml><?xml version="1.0" encoding="utf-8"?>
<ds:datastoreItem xmlns:ds="http://schemas.openxmlformats.org/officeDocument/2006/customXml" ds:itemID="{5D32C43F-97F4-4609-B6FB-1DE193546C7D}">
  <ds:schemaRefs/>
</ds:datastoreItem>
</file>

<file path=customXml/itemProps5.xml><?xml version="1.0" encoding="utf-8"?>
<ds:datastoreItem xmlns:ds="http://schemas.openxmlformats.org/officeDocument/2006/customXml" ds:itemID="{D3120495-6981-4B38-ADF0-166ABC17E323}">
  <ds:schemaRefs/>
</ds:datastoreItem>
</file>

<file path=customXml/itemProps6.xml><?xml version="1.0" encoding="utf-8"?>
<ds:datastoreItem xmlns:ds="http://schemas.openxmlformats.org/officeDocument/2006/customXml" ds:itemID="{3410F391-98B3-441D-82B2-CC47C02351DA}">
  <ds:schemaRefs/>
</ds:datastoreItem>
</file>

<file path=customXml/itemProps7.xml><?xml version="1.0" encoding="utf-8"?>
<ds:datastoreItem xmlns:ds="http://schemas.openxmlformats.org/officeDocument/2006/customXml" ds:itemID="{747C40AF-573E-4B62-B105-DF9955EB259D}">
  <ds:schemaRefs/>
</ds:datastoreItem>
</file>

<file path=customXml/itemProps8.xml><?xml version="1.0" encoding="utf-8"?>
<ds:datastoreItem xmlns:ds="http://schemas.openxmlformats.org/officeDocument/2006/customXml" ds:itemID="{A61E9D78-654E-4CE2-AD97-693BCB6728CC}">
  <ds:schemaRefs/>
</ds:datastoreItem>
</file>

<file path=customXml/itemProps9.xml><?xml version="1.0" encoding="utf-8"?>
<ds:datastoreItem xmlns:ds="http://schemas.openxmlformats.org/officeDocument/2006/customXml" ds:itemID="{5241CF61-D0E9-46C0-B48B-06FA71F82FFF}">
  <ds:schemaRefs/>
</ds:datastoreItem>
</file>

<file path=customXml/itemProps10.xml><?xml version="1.0" encoding="utf-8"?>
<ds:datastoreItem xmlns:ds="http://schemas.openxmlformats.org/officeDocument/2006/customXml" ds:itemID="{F47F0763-C021-4F2C-81D9-DE1CC2339DA3}">
  <ds:schemaRefs/>
</ds:datastoreItem>
</file>

<file path=customXml/itemProps11.xml><?xml version="1.0" encoding="utf-8"?>
<ds:datastoreItem xmlns:ds="http://schemas.openxmlformats.org/officeDocument/2006/customXml" ds:itemID="{045E6F4C-9248-4815-BCA6-303152B1FFAF}">
  <ds:schemaRefs/>
</ds:datastoreItem>
</file>

<file path=customXml/itemProps12.xml><?xml version="1.0" encoding="utf-8"?>
<ds:datastoreItem xmlns:ds="http://schemas.openxmlformats.org/officeDocument/2006/customXml" ds:itemID="{B5733D31-55BF-49CC-A7F9-2AE9E56F6C78}">
  <ds:schemaRefs/>
</ds:datastoreItem>
</file>

<file path=customXml/itemProps13.xml><?xml version="1.0" encoding="utf-8"?>
<ds:datastoreItem xmlns:ds="http://schemas.openxmlformats.org/officeDocument/2006/customXml" ds:itemID="{F44D8B6B-9B6D-426E-8DF9-2A53A242D123}">
  <ds:schemaRefs/>
</ds:datastoreItem>
</file>

<file path=customXml/itemProps14.xml><?xml version="1.0" encoding="utf-8"?>
<ds:datastoreItem xmlns:ds="http://schemas.openxmlformats.org/officeDocument/2006/customXml" ds:itemID="{06CE8DF2-FA26-48EF-9DB7-91A67DD3764B}">
  <ds:schemaRefs/>
</ds:datastoreItem>
</file>

<file path=customXml/itemProps15.xml><?xml version="1.0" encoding="utf-8"?>
<ds:datastoreItem xmlns:ds="http://schemas.openxmlformats.org/officeDocument/2006/customXml" ds:itemID="{17E42EA0-BBDB-4238-BB88-75E8B798274E}">
  <ds:schemaRefs/>
</ds:datastoreItem>
</file>

<file path=customXml/itemProps16.xml><?xml version="1.0" encoding="utf-8"?>
<ds:datastoreItem xmlns:ds="http://schemas.openxmlformats.org/officeDocument/2006/customXml" ds:itemID="{64AA7E7F-A4A2-471E-86B6-C87D552317E9}">
  <ds:schemaRefs/>
</ds:datastoreItem>
</file>

<file path=customXml/itemProps17.xml><?xml version="1.0" encoding="utf-8"?>
<ds:datastoreItem xmlns:ds="http://schemas.openxmlformats.org/officeDocument/2006/customXml" ds:itemID="{0DFF3FA7-6FED-4197-8FB9-DA1D7A462F2C}">
  <ds:schemaRefs/>
</ds:datastoreItem>
</file>

<file path=customXml/itemProps18.xml><?xml version="1.0" encoding="utf-8"?>
<ds:datastoreItem xmlns:ds="http://schemas.openxmlformats.org/officeDocument/2006/customXml" ds:itemID="{9497E8CD-9123-469C-AB5A-C1C39390A968}">
  <ds:schemaRefs/>
</ds:datastoreItem>
</file>

<file path=customXml/itemProps19.xml><?xml version="1.0" encoding="utf-8"?>
<ds:datastoreItem xmlns:ds="http://schemas.openxmlformats.org/officeDocument/2006/customXml" ds:itemID="{42FB9C61-40A8-421D-B5A4-5B56BBFFB47F}">
  <ds:schemaRefs/>
</ds:datastoreItem>
</file>

<file path=customXml/itemProps20.xml><?xml version="1.0" encoding="utf-8"?>
<ds:datastoreItem xmlns:ds="http://schemas.openxmlformats.org/officeDocument/2006/customXml" ds:itemID="{2049F331-DD88-429F-9E6A-3F8B254E7BE8}">
  <ds:schemaRefs/>
</ds:datastoreItem>
</file>

<file path=customXml/itemProps21.xml><?xml version="1.0" encoding="utf-8"?>
<ds:datastoreItem xmlns:ds="http://schemas.openxmlformats.org/officeDocument/2006/customXml" ds:itemID="{3B869BB5-807E-4B8B-AEED-AAA0C9FD2B06}">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Pivot_Engine</vt:lpstr>
      <vt:lpstr>Dashboard_Overview</vt:lpstr>
      <vt:lpstr>Dashboard_Attrition</vt:lpstr>
      <vt:lpstr>Dashboard_Performance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Adedamope Adeleye</cp:lastModifiedBy>
  <dcterms:created xsi:type="dcterms:W3CDTF">2026-04-29T08:23:29Z</dcterms:created>
  <dcterms:modified xsi:type="dcterms:W3CDTF">2026-06-08T14:26:06Z</dcterms:modified>
</cp:coreProperties>
</file>